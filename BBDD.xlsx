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9440" windowHeight="7995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C123" i="1"/>
  <c r="B123"/>
  <c r="C118"/>
  <c r="B118"/>
  <c r="C117"/>
  <c r="B117"/>
  <c r="C115"/>
  <c r="B115"/>
  <c r="C107"/>
  <c r="B107"/>
  <c r="C93"/>
  <c r="B93"/>
  <c r="C92"/>
  <c r="B92"/>
  <c r="C91"/>
  <c r="B91"/>
  <c r="C72"/>
  <c r="B72"/>
  <c r="C90"/>
  <c r="B90"/>
  <c r="C89"/>
  <c r="B89"/>
  <c r="C87"/>
  <c r="B87"/>
  <c r="C86"/>
  <c r="B86"/>
  <c r="C85"/>
  <c r="B85"/>
  <c r="C84"/>
  <c r="B84"/>
  <c r="C83"/>
  <c r="B83"/>
  <c r="C82"/>
  <c r="B82"/>
  <c r="O79"/>
  <c r="N79"/>
  <c r="M79"/>
  <c r="L79"/>
  <c r="K79"/>
  <c r="J79"/>
  <c r="I79"/>
  <c r="H79"/>
  <c r="G79"/>
  <c r="F79"/>
  <c r="E79"/>
  <c r="D79"/>
  <c r="C79"/>
  <c r="B79"/>
  <c r="O78"/>
  <c r="N78"/>
  <c r="M78"/>
  <c r="L78"/>
  <c r="K78"/>
  <c r="J78"/>
  <c r="I78"/>
  <c r="H78"/>
  <c r="G78"/>
  <c r="F78"/>
  <c r="E78"/>
  <c r="D78"/>
  <c r="C78"/>
  <c r="B78"/>
  <c r="O77"/>
  <c r="N77"/>
  <c r="M77"/>
  <c r="L77"/>
  <c r="K77"/>
  <c r="J77"/>
  <c r="I77"/>
  <c r="H77"/>
  <c r="G77"/>
  <c r="F77"/>
  <c r="E77"/>
  <c r="D77"/>
  <c r="C77"/>
  <c r="B77"/>
  <c r="O76"/>
  <c r="N76"/>
  <c r="M76"/>
  <c r="L76"/>
  <c r="K76"/>
  <c r="J76"/>
  <c r="I76"/>
  <c r="H76"/>
  <c r="G76"/>
  <c r="F76"/>
  <c r="E76"/>
  <c r="D76"/>
  <c r="C76"/>
  <c r="B76"/>
  <c r="O75"/>
  <c r="N75"/>
  <c r="M75"/>
  <c r="L75"/>
  <c r="K75"/>
  <c r="J75"/>
  <c r="I75"/>
  <c r="H75"/>
  <c r="G75"/>
  <c r="F75"/>
  <c r="E75"/>
  <c r="D75"/>
  <c r="C75"/>
  <c r="B75"/>
  <c r="O74"/>
  <c r="N74"/>
  <c r="M74"/>
  <c r="L74"/>
  <c r="K74"/>
  <c r="J74"/>
  <c r="I74"/>
  <c r="H74"/>
  <c r="G74"/>
  <c r="F74"/>
  <c r="E74"/>
  <c r="D74"/>
  <c r="C74"/>
  <c r="B74"/>
  <c r="O73"/>
  <c r="N73"/>
  <c r="M73"/>
  <c r="L73"/>
  <c r="K73"/>
  <c r="J73"/>
  <c r="I73"/>
  <c r="H73"/>
  <c r="G73"/>
  <c r="F73"/>
  <c r="E73"/>
  <c r="D73"/>
  <c r="C73"/>
  <c r="B73"/>
  <c r="O71"/>
  <c r="N71"/>
  <c r="M71"/>
  <c r="L71"/>
  <c r="K71"/>
  <c r="J71"/>
  <c r="I71"/>
  <c r="H71"/>
  <c r="G71"/>
  <c r="F71"/>
  <c r="E71"/>
  <c r="D71"/>
  <c r="C71"/>
  <c r="B71"/>
  <c r="O70"/>
  <c r="N70"/>
  <c r="M70"/>
  <c r="L70"/>
  <c r="K70"/>
  <c r="J70"/>
  <c r="I70"/>
  <c r="H70"/>
  <c r="G70"/>
  <c r="F70"/>
  <c r="E70"/>
  <c r="D70"/>
  <c r="C70"/>
  <c r="B70"/>
  <c r="O69"/>
  <c r="N69"/>
  <c r="M69"/>
  <c r="L69"/>
  <c r="K69"/>
  <c r="J69"/>
  <c r="I69"/>
  <c r="H69"/>
  <c r="G69"/>
  <c r="F69"/>
  <c r="E69"/>
  <c r="D69"/>
  <c r="C69"/>
  <c r="B69"/>
  <c r="O67"/>
  <c r="N67"/>
  <c r="M67"/>
  <c r="L67"/>
  <c r="K67"/>
  <c r="J67"/>
  <c r="I67"/>
  <c r="H67"/>
  <c r="G67"/>
  <c r="F67"/>
  <c r="E67"/>
  <c r="D67"/>
  <c r="C67"/>
  <c r="B67"/>
  <c r="O66"/>
  <c r="N66"/>
  <c r="M66"/>
  <c r="L66"/>
  <c r="K66"/>
  <c r="J66"/>
  <c r="I66"/>
  <c r="H66"/>
  <c r="G66"/>
  <c r="F66"/>
  <c r="E66"/>
  <c r="D66"/>
  <c r="C66"/>
  <c r="B66"/>
  <c r="O63"/>
  <c r="N63"/>
  <c r="M63"/>
  <c r="L63"/>
  <c r="K63"/>
  <c r="J63"/>
  <c r="I63"/>
  <c r="H63"/>
  <c r="G63"/>
  <c r="F63"/>
  <c r="E63"/>
  <c r="D63"/>
  <c r="C63"/>
  <c r="B63"/>
  <c r="O62"/>
  <c r="N62"/>
  <c r="M62"/>
  <c r="L62"/>
  <c r="K62"/>
  <c r="J62"/>
  <c r="I62"/>
  <c r="H62"/>
  <c r="G62"/>
  <c r="F62"/>
  <c r="E62"/>
  <c r="D62"/>
  <c r="C62"/>
  <c r="B62"/>
  <c r="O61"/>
  <c r="N61"/>
  <c r="M61"/>
  <c r="L61"/>
  <c r="K61"/>
  <c r="J61"/>
  <c r="I61"/>
  <c r="H61"/>
  <c r="G61"/>
  <c r="F61"/>
  <c r="E61"/>
  <c r="D61"/>
  <c r="C61"/>
  <c r="B61"/>
  <c r="O59"/>
  <c r="N59"/>
  <c r="M59"/>
  <c r="L59"/>
  <c r="K59"/>
  <c r="J59"/>
  <c r="I59"/>
  <c r="H59"/>
  <c r="G59"/>
  <c r="F59"/>
  <c r="E59"/>
  <c r="D59"/>
  <c r="C59"/>
  <c r="B59"/>
  <c r="O57"/>
  <c r="N57"/>
  <c r="M57"/>
  <c r="L57"/>
  <c r="K57"/>
  <c r="J57"/>
  <c r="I57"/>
  <c r="H57"/>
  <c r="G57"/>
  <c r="F57"/>
  <c r="E57"/>
  <c r="D57"/>
  <c r="C57"/>
  <c r="B57"/>
  <c r="O56"/>
  <c r="N56"/>
  <c r="M56"/>
  <c r="L56"/>
  <c r="K56"/>
  <c r="J56"/>
  <c r="I56"/>
  <c r="H56"/>
  <c r="G56"/>
  <c r="F56"/>
  <c r="E56"/>
  <c r="D56"/>
  <c r="C56"/>
  <c r="B56"/>
  <c r="O54"/>
  <c r="N54"/>
  <c r="M54"/>
  <c r="L54"/>
  <c r="K54"/>
  <c r="J54"/>
  <c r="I54"/>
  <c r="H54"/>
  <c r="G54"/>
  <c r="F54"/>
  <c r="E54"/>
  <c r="D54"/>
  <c r="C54"/>
  <c r="B54"/>
  <c r="O53"/>
  <c r="N53"/>
  <c r="M53"/>
  <c r="L53"/>
  <c r="K53"/>
  <c r="J53"/>
  <c r="I53"/>
  <c r="H53"/>
  <c r="G53"/>
  <c r="F53"/>
  <c r="E53"/>
  <c r="D53"/>
  <c r="C53"/>
  <c r="B53"/>
  <c r="O52"/>
  <c r="N52"/>
  <c r="M52"/>
  <c r="L52"/>
  <c r="K52"/>
  <c r="J52"/>
  <c r="I52"/>
  <c r="H52"/>
  <c r="G52"/>
  <c r="F52"/>
  <c r="E52"/>
  <c r="D52"/>
  <c r="C52"/>
  <c r="B52"/>
  <c r="O51"/>
  <c r="N51"/>
  <c r="M51"/>
  <c r="L51"/>
  <c r="K51"/>
  <c r="J51"/>
  <c r="I51"/>
  <c r="H51"/>
  <c r="G51"/>
  <c r="F51"/>
  <c r="E51"/>
  <c r="D51"/>
  <c r="C51"/>
  <c r="B51"/>
  <c r="O50"/>
  <c r="N50"/>
  <c r="M50"/>
  <c r="L50"/>
  <c r="K50"/>
  <c r="J50"/>
  <c r="I50"/>
  <c r="H50"/>
  <c r="G50"/>
  <c r="F50"/>
  <c r="E50"/>
  <c r="D50"/>
  <c r="C50"/>
  <c r="B50"/>
  <c r="O49"/>
  <c r="N49"/>
  <c r="M49"/>
  <c r="L49"/>
  <c r="K49"/>
  <c r="J49"/>
  <c r="I49"/>
  <c r="H49"/>
  <c r="G49"/>
  <c r="F49"/>
  <c r="E49"/>
  <c r="D49"/>
  <c r="C49"/>
  <c r="B49"/>
  <c r="O48"/>
  <c r="N48"/>
  <c r="M48"/>
  <c r="L48"/>
  <c r="K48"/>
  <c r="J48"/>
  <c r="I48"/>
  <c r="H48"/>
  <c r="G48"/>
  <c r="F48"/>
  <c r="E48"/>
  <c r="D48"/>
  <c r="C48"/>
  <c r="B48"/>
  <c r="O47"/>
  <c r="N47"/>
  <c r="M47"/>
  <c r="L47"/>
  <c r="K47"/>
  <c r="J47"/>
  <c r="I47"/>
  <c r="H47"/>
  <c r="G47"/>
  <c r="F47"/>
  <c r="E47"/>
  <c r="D47"/>
  <c r="C47"/>
  <c r="B47"/>
  <c r="O46"/>
  <c r="N46"/>
  <c r="M46"/>
  <c r="L46"/>
  <c r="K46"/>
  <c r="J46"/>
  <c r="I46"/>
  <c r="H46"/>
  <c r="G46"/>
  <c r="F46"/>
  <c r="E46"/>
  <c r="D46"/>
  <c r="C46"/>
  <c r="B46"/>
  <c r="O45"/>
  <c r="N45"/>
  <c r="M45"/>
  <c r="L45"/>
  <c r="K45"/>
  <c r="J45"/>
  <c r="I45"/>
  <c r="H45"/>
  <c r="G45"/>
  <c r="F45"/>
  <c r="E45"/>
  <c r="D45"/>
  <c r="C45"/>
  <c r="B45"/>
  <c r="O44"/>
  <c r="N44"/>
  <c r="M44"/>
  <c r="L44"/>
  <c r="K44"/>
  <c r="J44"/>
  <c r="I44"/>
  <c r="H44"/>
  <c r="G44"/>
  <c r="F44"/>
  <c r="E44"/>
  <c r="D44"/>
  <c r="C44"/>
  <c r="B44"/>
  <c r="O43"/>
  <c r="N43"/>
  <c r="M43"/>
  <c r="L43"/>
  <c r="K43"/>
  <c r="J43"/>
  <c r="I43"/>
  <c r="H43"/>
  <c r="G43"/>
  <c r="F43"/>
  <c r="E43"/>
  <c r="D43"/>
  <c r="C43"/>
  <c r="B43"/>
  <c r="C42"/>
  <c r="B42"/>
  <c r="O41"/>
  <c r="N41"/>
  <c r="M41"/>
  <c r="L41"/>
  <c r="K41"/>
  <c r="J41"/>
  <c r="I41"/>
  <c r="H41"/>
  <c r="G41"/>
  <c r="F41"/>
  <c r="E41"/>
  <c r="D41"/>
  <c r="C41"/>
  <c r="B41"/>
  <c r="O40"/>
  <c r="N40"/>
  <c r="M40"/>
  <c r="L40"/>
  <c r="K40"/>
  <c r="J40"/>
  <c r="I40"/>
  <c r="H40"/>
  <c r="G40"/>
  <c r="F40"/>
  <c r="E40"/>
  <c r="D40"/>
  <c r="C40"/>
  <c r="B40"/>
  <c r="O39"/>
  <c r="N39"/>
  <c r="M39"/>
  <c r="L39"/>
  <c r="K39"/>
  <c r="J39"/>
  <c r="I39"/>
  <c r="H39"/>
  <c r="G39"/>
  <c r="F39"/>
  <c r="E39"/>
  <c r="D39"/>
  <c r="C39"/>
  <c r="B39"/>
  <c r="O38"/>
  <c r="N38"/>
  <c r="M38"/>
  <c r="L38"/>
  <c r="K38"/>
  <c r="J38"/>
  <c r="I38"/>
  <c r="H38"/>
  <c r="G38"/>
  <c r="F38"/>
  <c r="E38"/>
  <c r="D38"/>
  <c r="C38"/>
  <c r="B38"/>
  <c r="O37"/>
  <c r="N37"/>
  <c r="M37"/>
  <c r="L37"/>
  <c r="K37"/>
  <c r="J37"/>
  <c r="I37"/>
  <c r="H37"/>
  <c r="G37"/>
  <c r="F37"/>
  <c r="E37"/>
  <c r="D37"/>
  <c r="C37"/>
  <c r="B37"/>
  <c r="O36"/>
  <c r="N36"/>
  <c r="M36"/>
  <c r="L36"/>
  <c r="K36"/>
  <c r="J36"/>
  <c r="I36"/>
  <c r="H36"/>
  <c r="G36"/>
  <c r="F36"/>
  <c r="E36"/>
  <c r="D36"/>
  <c r="C36"/>
  <c r="B36"/>
  <c r="O35"/>
  <c r="N35"/>
  <c r="M35"/>
  <c r="L35"/>
  <c r="K35"/>
  <c r="J35"/>
  <c r="I35"/>
  <c r="H35"/>
  <c r="G35"/>
  <c r="F35"/>
  <c r="E35"/>
  <c r="D35"/>
  <c r="C35"/>
  <c r="B35"/>
  <c r="O34"/>
  <c r="N34"/>
  <c r="M34"/>
  <c r="L34"/>
  <c r="K34"/>
  <c r="J34"/>
  <c r="I34"/>
  <c r="H34"/>
  <c r="G34"/>
  <c r="F34"/>
  <c r="E34"/>
  <c r="D34"/>
  <c r="C34"/>
  <c r="B34"/>
  <c r="O33"/>
  <c r="N33"/>
  <c r="M33"/>
  <c r="L33"/>
  <c r="K33"/>
  <c r="J33"/>
  <c r="I33"/>
  <c r="H33"/>
  <c r="G33"/>
  <c r="F33"/>
  <c r="E33"/>
  <c r="D33"/>
  <c r="C33"/>
  <c r="B33"/>
  <c r="O32"/>
  <c r="N32"/>
  <c r="M32"/>
  <c r="L32"/>
  <c r="K32"/>
  <c r="J32"/>
  <c r="I32"/>
  <c r="H32"/>
  <c r="G32"/>
  <c r="F32"/>
  <c r="E32"/>
  <c r="D32"/>
  <c r="C32"/>
  <c r="B32"/>
  <c r="O31"/>
  <c r="N31"/>
  <c r="M31"/>
  <c r="L31"/>
  <c r="K31"/>
  <c r="J31"/>
  <c r="I31"/>
  <c r="H31"/>
  <c r="G31"/>
  <c r="F31"/>
  <c r="E31"/>
  <c r="D31"/>
  <c r="C31"/>
  <c r="B31"/>
  <c r="O30"/>
  <c r="N30"/>
  <c r="M30"/>
  <c r="L30"/>
  <c r="K30"/>
  <c r="J30"/>
  <c r="I30"/>
  <c r="H30"/>
  <c r="G30"/>
  <c r="F30"/>
  <c r="E30"/>
  <c r="D30"/>
  <c r="C30"/>
  <c r="B30"/>
  <c r="O29"/>
  <c r="N29"/>
  <c r="M29"/>
  <c r="L29"/>
  <c r="K29"/>
  <c r="J29"/>
  <c r="I29"/>
  <c r="H29"/>
  <c r="G29"/>
  <c r="F29"/>
  <c r="E29"/>
  <c r="D29"/>
  <c r="C29"/>
  <c r="B29"/>
  <c r="O28"/>
  <c r="N28"/>
  <c r="M28"/>
  <c r="L28"/>
  <c r="K28"/>
  <c r="J28"/>
  <c r="I28"/>
  <c r="H28"/>
  <c r="G28"/>
  <c r="F28"/>
  <c r="E28"/>
  <c r="D28"/>
  <c r="C28"/>
  <c r="B28"/>
  <c r="O27"/>
  <c r="N27"/>
  <c r="M27"/>
  <c r="L27"/>
  <c r="K27"/>
  <c r="J27"/>
  <c r="I27"/>
  <c r="H27"/>
  <c r="G27"/>
  <c r="F27"/>
  <c r="E27"/>
  <c r="D27"/>
  <c r="C27"/>
  <c r="B27"/>
  <c r="O26"/>
  <c r="N26"/>
  <c r="M26"/>
  <c r="L26"/>
  <c r="K26"/>
  <c r="J26"/>
  <c r="I26"/>
  <c r="H26"/>
  <c r="G26"/>
  <c r="F26"/>
  <c r="E26"/>
  <c r="D26"/>
  <c r="C26"/>
  <c r="B26"/>
  <c r="C25"/>
  <c r="B25"/>
  <c r="O23"/>
  <c r="N23"/>
  <c r="M23"/>
  <c r="L23"/>
  <c r="K23"/>
  <c r="J23"/>
  <c r="I23"/>
  <c r="H23"/>
  <c r="G23"/>
  <c r="F23"/>
  <c r="E23"/>
  <c r="D23"/>
  <c r="C23"/>
  <c r="B23"/>
  <c r="O22"/>
  <c r="N22"/>
  <c r="M22"/>
  <c r="L22"/>
  <c r="K22"/>
  <c r="J22"/>
  <c r="I22"/>
  <c r="H22"/>
  <c r="G22"/>
  <c r="F22"/>
  <c r="E22"/>
  <c r="D22"/>
  <c r="C22"/>
  <c r="B22"/>
  <c r="O21"/>
  <c r="N21"/>
  <c r="M21"/>
  <c r="L21"/>
  <c r="K21"/>
  <c r="J21"/>
  <c r="I21"/>
  <c r="H21"/>
  <c r="G21"/>
  <c r="F21"/>
  <c r="E21"/>
  <c r="D21"/>
  <c r="C21"/>
  <c r="B21"/>
  <c r="O20"/>
  <c r="N20"/>
  <c r="M20"/>
  <c r="L20"/>
  <c r="K20"/>
  <c r="J20"/>
  <c r="I20"/>
  <c r="H20"/>
  <c r="G20"/>
  <c r="F20"/>
  <c r="E20"/>
  <c r="D20"/>
  <c r="C20"/>
  <c r="B20"/>
  <c r="O19"/>
  <c r="N19"/>
  <c r="M19"/>
  <c r="L19"/>
  <c r="K19"/>
  <c r="J19"/>
  <c r="I19"/>
  <c r="H19"/>
  <c r="G19"/>
  <c r="F19"/>
  <c r="E19"/>
  <c r="D19"/>
  <c r="C19"/>
  <c r="B19"/>
  <c r="O18"/>
  <c r="N18"/>
  <c r="M18"/>
  <c r="L18"/>
  <c r="K18"/>
  <c r="J18"/>
  <c r="I18"/>
  <c r="H18"/>
  <c r="G18"/>
  <c r="F18"/>
  <c r="E18"/>
  <c r="D18"/>
  <c r="C18"/>
  <c r="B18"/>
  <c r="O17"/>
  <c r="N17"/>
  <c r="M17"/>
  <c r="L17"/>
  <c r="K17"/>
  <c r="J17"/>
  <c r="I17"/>
  <c r="H17"/>
  <c r="G17"/>
  <c r="F17"/>
  <c r="E17"/>
  <c r="D17"/>
  <c r="C17"/>
  <c r="B17"/>
  <c r="O24"/>
  <c r="N24"/>
  <c r="M24"/>
  <c r="L24"/>
  <c r="K24"/>
  <c r="J24"/>
  <c r="I24"/>
  <c r="H24"/>
  <c r="G24"/>
  <c r="F24"/>
  <c r="E24"/>
  <c r="D24"/>
  <c r="C24"/>
  <c r="B24"/>
  <c r="O16"/>
  <c r="N16"/>
  <c r="M16"/>
  <c r="L16"/>
  <c r="K16"/>
  <c r="J16"/>
  <c r="I16"/>
  <c r="H16"/>
  <c r="G16"/>
  <c r="F16"/>
  <c r="E16"/>
  <c r="D16"/>
  <c r="C16"/>
  <c r="B16"/>
  <c r="O15"/>
  <c r="N15"/>
  <c r="M15"/>
  <c r="L15"/>
  <c r="K15"/>
  <c r="J15"/>
  <c r="I15"/>
  <c r="H15"/>
  <c r="G15"/>
  <c r="F15"/>
  <c r="E15"/>
  <c r="D15"/>
  <c r="C15"/>
  <c r="B15"/>
  <c r="O14"/>
  <c r="N14"/>
  <c r="M14"/>
  <c r="L14"/>
  <c r="K14"/>
  <c r="J14"/>
  <c r="I14"/>
  <c r="H14"/>
  <c r="G14"/>
  <c r="F14"/>
  <c r="E14"/>
  <c r="D14"/>
  <c r="C14"/>
  <c r="B14"/>
  <c r="O13"/>
  <c r="N13"/>
  <c r="M13"/>
  <c r="L13"/>
  <c r="K13"/>
  <c r="J13"/>
  <c r="I13"/>
  <c r="H13"/>
  <c r="G13"/>
  <c r="F13"/>
  <c r="E13"/>
  <c r="D13"/>
  <c r="C13"/>
  <c r="B13"/>
  <c r="O12"/>
  <c r="N12"/>
  <c r="M12"/>
  <c r="L12"/>
  <c r="K12"/>
  <c r="J12"/>
  <c r="I12"/>
  <c r="H12"/>
  <c r="G12"/>
  <c r="F12"/>
  <c r="E12"/>
  <c r="D12"/>
  <c r="C12"/>
  <c r="B12"/>
  <c r="O11"/>
  <c r="N11"/>
  <c r="M11"/>
  <c r="L11"/>
  <c r="K11"/>
  <c r="J11"/>
  <c r="I11"/>
  <c r="H11"/>
  <c r="G11"/>
  <c r="F11"/>
  <c r="E11"/>
  <c r="D11"/>
  <c r="C11"/>
  <c r="B11"/>
  <c r="O10"/>
  <c r="N10"/>
  <c r="M10"/>
  <c r="L10"/>
  <c r="K10"/>
  <c r="J10"/>
  <c r="I10"/>
  <c r="H10"/>
  <c r="G10"/>
  <c r="F10"/>
  <c r="E10"/>
  <c r="D10"/>
  <c r="C10"/>
  <c r="B10"/>
  <c r="O9"/>
  <c r="N9"/>
  <c r="M9"/>
  <c r="L9"/>
  <c r="K9"/>
  <c r="J9"/>
  <c r="I9"/>
  <c r="H9"/>
  <c r="G9"/>
  <c r="F9"/>
  <c r="E9"/>
  <c r="D9"/>
  <c r="C9"/>
  <c r="B9"/>
  <c r="O8"/>
  <c r="N8"/>
  <c r="M8"/>
  <c r="L8"/>
  <c r="K8"/>
  <c r="J8"/>
  <c r="I8"/>
  <c r="H8"/>
  <c r="G8"/>
  <c r="F8"/>
  <c r="E8"/>
  <c r="D8"/>
  <c r="C8"/>
  <c r="B8"/>
  <c r="O7"/>
  <c r="N7"/>
  <c r="M7"/>
  <c r="L7"/>
  <c r="K7"/>
  <c r="J7"/>
  <c r="I7"/>
  <c r="H7"/>
  <c r="G7"/>
  <c r="F7"/>
  <c r="E7"/>
  <c r="D7"/>
  <c r="C7"/>
  <c r="B7"/>
  <c r="O6"/>
  <c r="N6"/>
  <c r="M6"/>
  <c r="L6"/>
  <c r="K6"/>
  <c r="J6"/>
  <c r="I6"/>
  <c r="H6"/>
  <c r="G6"/>
  <c r="F6"/>
  <c r="E6"/>
  <c r="D6"/>
  <c r="C6"/>
  <c r="B6"/>
  <c r="O5"/>
  <c r="N5"/>
  <c r="M5"/>
  <c r="L5"/>
  <c r="K5"/>
  <c r="J5"/>
  <c r="I5"/>
  <c r="H5"/>
  <c r="G5"/>
  <c r="F5"/>
  <c r="E5"/>
  <c r="D5"/>
  <c r="C5"/>
  <c r="B5"/>
  <c r="O4"/>
  <c r="N4"/>
  <c r="M4"/>
  <c r="L4"/>
  <c r="K4"/>
  <c r="J4"/>
  <c r="I4"/>
  <c r="H4"/>
  <c r="G4"/>
  <c r="F4"/>
  <c r="E4"/>
  <c r="D4"/>
  <c r="C4"/>
  <c r="B4"/>
  <c r="E97" i="2"/>
  <c r="F97"/>
  <c r="G97"/>
  <c r="H97"/>
  <c r="I97"/>
  <c r="J97"/>
  <c r="K97"/>
  <c r="L97"/>
  <c r="M97"/>
  <c r="N97"/>
  <c r="O97"/>
  <c r="D97"/>
  <c r="D100"/>
  <c r="E100"/>
  <c r="F100"/>
  <c r="G100"/>
  <c r="H100"/>
  <c r="I100"/>
  <c r="J100"/>
  <c r="K100"/>
  <c r="L100"/>
  <c r="M100"/>
  <c r="N100"/>
  <c r="O100"/>
  <c r="D101"/>
  <c r="E101"/>
  <c r="F101"/>
  <c r="G101"/>
  <c r="H101"/>
  <c r="I101"/>
  <c r="J101"/>
  <c r="K101"/>
  <c r="L101"/>
  <c r="M101"/>
  <c r="N101"/>
  <c r="O101"/>
  <c r="D102"/>
  <c r="E102"/>
  <c r="F102"/>
  <c r="G102"/>
  <c r="H102"/>
  <c r="I102"/>
  <c r="J102"/>
  <c r="K102"/>
  <c r="L102"/>
  <c r="M102"/>
  <c r="N102"/>
  <c r="O102"/>
  <c r="D103"/>
  <c r="E103"/>
  <c r="F103"/>
  <c r="G103"/>
  <c r="H103"/>
  <c r="I103"/>
  <c r="J103"/>
  <c r="K103"/>
  <c r="L103"/>
  <c r="M103"/>
  <c r="N103"/>
  <c r="O103"/>
  <c r="E99"/>
  <c r="F99"/>
  <c r="G99"/>
  <c r="H99"/>
  <c r="I99"/>
  <c r="J99"/>
  <c r="K99"/>
  <c r="L99"/>
  <c r="M99"/>
  <c r="N99"/>
  <c r="O99"/>
  <c r="D99"/>
  <c r="D86"/>
  <c r="E86"/>
  <c r="F86"/>
  <c r="G86"/>
  <c r="H86"/>
  <c r="I86"/>
  <c r="J86"/>
  <c r="K86"/>
  <c r="L86"/>
  <c r="M86"/>
  <c r="N86"/>
  <c r="O86"/>
  <c r="D87"/>
  <c r="E87"/>
  <c r="F87"/>
  <c r="G87"/>
  <c r="H87"/>
  <c r="I87"/>
  <c r="J87"/>
  <c r="K87"/>
  <c r="L87"/>
  <c r="M87"/>
  <c r="N87"/>
  <c r="O87"/>
  <c r="E85"/>
  <c r="F85"/>
  <c r="G85"/>
  <c r="H85"/>
  <c r="I85"/>
  <c r="J85"/>
  <c r="K85"/>
  <c r="L85"/>
  <c r="M85"/>
  <c r="N85"/>
  <c r="O85"/>
  <c r="D85"/>
  <c r="D83"/>
  <c r="E83"/>
  <c r="F83"/>
  <c r="G83"/>
  <c r="H83"/>
  <c r="I83"/>
  <c r="J83"/>
  <c r="K83"/>
  <c r="L83"/>
  <c r="M83"/>
  <c r="N83"/>
  <c r="O83"/>
  <c r="E82"/>
  <c r="F82"/>
  <c r="G82"/>
  <c r="H82"/>
  <c r="I82"/>
  <c r="J82"/>
  <c r="K82"/>
  <c r="L82"/>
  <c r="M82"/>
  <c r="N82"/>
  <c r="O82"/>
  <c r="D82"/>
  <c r="O96"/>
  <c r="N96"/>
  <c r="M96"/>
  <c r="L96"/>
  <c r="K96"/>
  <c r="J96"/>
  <c r="I96"/>
  <c r="H96"/>
  <c r="G96"/>
  <c r="F96"/>
  <c r="E96"/>
  <c r="D96"/>
  <c r="O92"/>
  <c r="N92"/>
  <c r="M92"/>
  <c r="L92"/>
  <c r="K92"/>
  <c r="J92"/>
  <c r="I92"/>
  <c r="H92"/>
  <c r="G92"/>
  <c r="F92"/>
  <c r="E92"/>
  <c r="D92"/>
  <c r="N90"/>
  <c r="O90"/>
  <c r="M90"/>
  <c r="L90"/>
  <c r="K90"/>
  <c r="J90"/>
  <c r="I90"/>
  <c r="H90"/>
  <c r="G90"/>
  <c r="F90"/>
  <c r="E90"/>
  <c r="D90"/>
  <c r="O95"/>
  <c r="N95"/>
  <c r="M95"/>
  <c r="L95"/>
  <c r="K95"/>
  <c r="J95"/>
  <c r="I95"/>
  <c r="H95"/>
  <c r="G95"/>
  <c r="F95"/>
  <c r="E95"/>
  <c r="D95"/>
  <c r="J93"/>
  <c r="O93"/>
  <c r="N93"/>
  <c r="M93"/>
  <c r="L93"/>
  <c r="K93"/>
  <c r="I93"/>
  <c r="H93"/>
  <c r="G93"/>
  <c r="F93"/>
  <c r="E93"/>
  <c r="D93"/>
  <c r="O91"/>
  <c r="N91"/>
  <c r="M91"/>
  <c r="L91"/>
  <c r="K91"/>
  <c r="J91"/>
  <c r="I91"/>
  <c r="H91"/>
  <c r="G91"/>
  <c r="F91"/>
  <c r="E91"/>
  <c r="D91"/>
  <c r="O94"/>
  <c r="N94"/>
  <c r="M94"/>
  <c r="L94"/>
  <c r="K94"/>
  <c r="J94"/>
  <c r="I94"/>
  <c r="H94"/>
  <c r="G94"/>
  <c r="F94"/>
  <c r="E94"/>
  <c r="D94"/>
  <c r="B3" i="1"/>
  <c r="C3"/>
  <c r="D3"/>
  <c r="E3"/>
  <c r="F3"/>
  <c r="G3"/>
  <c r="H3"/>
  <c r="I3"/>
  <c r="J3"/>
  <c r="K3"/>
  <c r="L3"/>
  <c r="M3"/>
  <c r="N3"/>
  <c r="O3"/>
</calcChain>
</file>

<file path=xl/sharedStrings.xml><?xml version="1.0" encoding="utf-8"?>
<sst xmlns="http://schemas.openxmlformats.org/spreadsheetml/2006/main" count="459" uniqueCount="376">
  <si>
    <t>Albacete</t>
  </si>
  <si>
    <t>Alicante</t>
  </si>
  <si>
    <t>Badajoz</t>
  </si>
  <si>
    <t>Barcelona</t>
  </si>
  <si>
    <t>Burgos</t>
  </si>
  <si>
    <t>Ceuta</t>
  </si>
  <si>
    <t>Cuenca</t>
  </si>
  <si>
    <t>Gerona</t>
  </si>
  <si>
    <t>Granada</t>
  </si>
  <si>
    <t>Guadalajara</t>
  </si>
  <si>
    <t>Huelva</t>
  </si>
  <si>
    <t>Huesca</t>
  </si>
  <si>
    <t>Lugo</t>
  </si>
  <si>
    <t>Madrid</t>
  </si>
  <si>
    <t>Melilla</t>
  </si>
  <si>
    <t>Murcia</t>
  </si>
  <si>
    <t>Palencia</t>
  </si>
  <si>
    <t>Pontevedra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</si>
  <si>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</si>
  <si>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</si>
  <si>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</si>
  <si>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</si>
  <si>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</si>
  <si>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</si>
  <si>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</si>
  <si>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</si>
  <si>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</si>
  <si>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</si>
  <si>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Zamora</t>
  </si>
  <si>
    <t>Zaragoza</t>
  </si>
  <si>
    <t>Ciudad</t>
  </si>
  <si>
    <t>Latitud</t>
  </si>
  <si>
    <t>Longitud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</si>
  <si>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</si>
  <si>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</si>
  <si>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</si>
  <si>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</si>
  <si>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</si>
  <si>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</si>
  <si>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</si>
  <si>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</si>
  <si>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</si>
  <si>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</si>
  <si>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</si>
  <si>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</si>
  <si>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Ávila</t>
  </si>
  <si>
    <t>Cáceres</t>
  </si>
  <si>
    <t>Cádiz</t>
  </si>
  <si>
    <t>Castellón</t>
  </si>
  <si>
    <t>Córdoba</t>
  </si>
  <si>
    <t>Jaén</t>
  </si>
  <si>
    <t>La Coruña</t>
  </si>
  <si>
    <t>León</t>
  </si>
  <si>
    <t>Lérida</t>
  </si>
  <si>
    <t>Málaga</t>
  </si>
  <si>
    <t>Ciudad Real</t>
  </si>
  <si>
    <t>Almería</t>
  </si>
  <si>
    <t>38°59'51" North</t>
  </si>
  <si>
    <t>1°51'36" West</t>
  </si>
  <si>
    <t>38°20'42" North</t>
  </si>
  <si>
    <t>0°28'51" West</t>
  </si>
  <si>
    <t>36°50'24" North</t>
  </si>
  <si>
    <t>2°28'4" West</t>
  </si>
  <si>
    <t>40°39'23" North</t>
  </si>
  <si>
    <t>4°42'1" West</t>
  </si>
  <si>
    <t>38°52'42" North</t>
  </si>
  <si>
    <t>6°58'12" West</t>
  </si>
  <si>
    <t>2°10'11" East</t>
  </si>
  <si>
    <t>42°20'27" North</t>
  </si>
  <si>
    <t> 3°41'59" West</t>
  </si>
  <si>
    <t>39°28'34" North</t>
  </si>
  <si>
    <t>6°22'14" West</t>
  </si>
  <si>
    <t>36°31'46" North</t>
  </si>
  <si>
    <t>6°17'33" West</t>
  </si>
  <si>
    <t>39°59'9" North</t>
  </si>
  <si>
    <t>0°2'9" West</t>
  </si>
  <si>
    <t>41°23'16" North</t>
  </si>
  <si>
    <t>35°53'17" North</t>
  </si>
  <si>
    <t>5°18'58" West</t>
  </si>
  <si>
    <t>38°59'9" North</t>
  </si>
  <si>
    <t>3°55'38" West</t>
  </si>
  <si>
    <t>37°53'5" North</t>
  </si>
  <si>
    <t>4°46'44" West</t>
  </si>
  <si>
    <t>40°4'18" North</t>
  </si>
  <si>
    <t>2°8'2" West</t>
  </si>
  <si>
    <t>41°58'54" North</t>
  </si>
  <si>
    <t>2°49'25" East</t>
  </si>
  <si>
    <t>37°10'35" North</t>
  </si>
  <si>
    <t>3°35'52" West</t>
  </si>
  <si>
    <t>40°37'48" North</t>
  </si>
  <si>
    <t>3°9'57" West</t>
  </si>
  <si>
    <t>37°15'25" North</t>
  </si>
  <si>
    <t>6°56'58" West</t>
  </si>
  <si>
    <t>42°8'24" North</t>
  </si>
  <si>
    <t>0°24'32" West</t>
  </si>
  <si>
    <t>37°45'56" North</t>
  </si>
  <si>
    <t>3°47'22" West</t>
  </si>
  <si>
    <t>43°22'15" North</t>
  </si>
  <si>
    <t>8°23'45" West</t>
  </si>
  <si>
    <t>42°35'59" North</t>
  </si>
  <si>
    <t>5°34'18" West</t>
  </si>
  <si>
    <t>41°36'50" North</t>
  </si>
  <si>
    <t>0°37'32" East</t>
  </si>
  <si>
    <t>43°0'43" North</t>
  </si>
  <si>
    <t>7°33'21" West</t>
  </si>
  <si>
    <t>40°25'0" North</t>
  </si>
  <si>
    <t>3°42'1" West</t>
  </si>
  <si>
    <t>36°43'10" North</t>
  </si>
  <si>
    <t>4°25'12" West</t>
  </si>
  <si>
    <t>35°17'32" North</t>
  </si>
  <si>
    <t>2°56'19" West</t>
  </si>
  <si>
    <t>37°59'0" North</t>
  </si>
  <si>
    <t>1°7'47" West</t>
  </si>
  <si>
    <t>42°20'23" North</t>
  </si>
  <si>
    <t>7°51'52" West</t>
  </si>
  <si>
    <t>42°0'44" North</t>
  </si>
  <si>
    <t>4°31'52" West</t>
  </si>
  <si>
    <t>42°26'1" North</t>
  </si>
  <si>
    <t>8°38'53" West</t>
  </si>
  <si>
    <t>40°57'53" North</t>
  </si>
  <si>
    <t>5°39'46" West</t>
  </si>
  <si>
    <t>40°56'57" North</t>
  </si>
  <si>
    <t>4°7'9" West</t>
  </si>
  <si>
    <t>37°22'57" North</t>
  </si>
  <si>
    <t>5°59'46" West</t>
  </si>
  <si>
    <t>41°45'48" North</t>
  </si>
  <si>
    <t>2°27'53" West</t>
  </si>
  <si>
    <t>41°7'7" North</t>
  </si>
  <si>
    <t>1°14'43" East</t>
  </si>
  <si>
    <t>40°20'38" North</t>
  </si>
  <si>
    <t>1°6'24" West</t>
  </si>
  <si>
    <t>39°51'24" North</t>
  </si>
  <si>
    <t>4°1'28" West</t>
  </si>
  <si>
    <t>39°28'12" North</t>
  </si>
  <si>
    <t>0°22'36" West</t>
  </si>
  <si>
    <t>41°39'10" North</t>
  </si>
  <si>
    <t>4°43'42" West</t>
  </si>
  <si>
    <t>43°15'25" North</t>
  </si>
  <si>
    <t>2°55'24" West</t>
  </si>
  <si>
    <t>41°30'13" North</t>
  </si>
  <si>
    <t>5°44'37" West</t>
  </si>
  <si>
    <t>41°39'24" North</t>
  </si>
  <si>
    <t>0°52'47" West</t>
  </si>
  <si>
    <t>W</t>
  </si>
  <si>
    <t>1 KW =</t>
  </si>
  <si>
    <t>15°25'48" West</t>
  </si>
  <si>
    <t>28°7'29" North</t>
  </si>
  <si>
    <t>Latitud (º)</t>
  </si>
  <si>
    <t>Longitud (º)</t>
  </si>
  <si>
    <t>28°28'11" North</t>
  </si>
  <si>
    <t>16°15'17" West</t>
  </si>
  <si>
    <t>Radiación Global Mensual en plano Horizontal (kWh/m^2/día)</t>
  </si>
  <si>
    <t>Radiación Global Mensual en plano Horizontal (Wh/m^2/día)</t>
  </si>
  <si>
    <t>Capitales Europeas</t>
  </si>
  <si>
    <t>Atenas</t>
  </si>
  <si>
    <t>37°59'1" North</t>
  </si>
  <si>
    <t>23°43'45" East</t>
  </si>
  <si>
    <t>Amsterdam</t>
  </si>
  <si>
    <t>52°22'12" North</t>
  </si>
  <si>
    <t>4°53'42" East</t>
  </si>
  <si>
    <t xml:space="preserve">Berlín </t>
  </si>
  <si>
    <t>52°31'9" North</t>
  </si>
  <si>
    <t>13°24'21" East</t>
  </si>
  <si>
    <t>Bruselas</t>
  </si>
  <si>
    <t>Bucarest</t>
  </si>
  <si>
    <t>Budapest</t>
  </si>
  <si>
    <t>Estocolmo</t>
  </si>
  <si>
    <t>Helsinki</t>
  </si>
  <si>
    <t>Lisboa</t>
  </si>
  <si>
    <t>Londres</t>
  </si>
  <si>
    <t>Luxemburgo</t>
  </si>
  <si>
    <t>Moscú</t>
  </si>
  <si>
    <t>Oslo</t>
  </si>
  <si>
    <t>París</t>
  </si>
  <si>
    <t>Praga</t>
  </si>
  <si>
    <t>Riga</t>
  </si>
  <si>
    <t>Roma</t>
  </si>
  <si>
    <t>Varsovia</t>
  </si>
  <si>
    <t>Viena</t>
  </si>
  <si>
    <t>50°51'1" North</t>
  </si>
  <si>
    <t>4°21'6" East</t>
  </si>
  <si>
    <t>47°29'54" North</t>
  </si>
  <si>
    <t>19°2'26" East</t>
  </si>
  <si>
    <t>59°19'44" North</t>
  </si>
  <si>
    <t>18°3'53" East</t>
  </si>
  <si>
    <t>60°9'59" North</t>
  </si>
  <si>
    <t>24°56'36" East</t>
  </si>
  <si>
    <t>51°30'26" North</t>
  </si>
  <si>
    <t>0°7'39" West</t>
  </si>
  <si>
    <t>49°48'54" North</t>
  </si>
  <si>
    <t>6°7'46" East</t>
  </si>
  <si>
    <t>37°36'55" East</t>
  </si>
  <si>
    <t>59°54'49" North</t>
  </si>
  <si>
    <t>10°45'8" East</t>
  </si>
  <si>
    <t>48°51'23" North</t>
  </si>
  <si>
    <t>2°21'7" East</t>
  </si>
  <si>
    <t>56°56'46" North</t>
  </si>
  <si>
    <t>24°6'15" East</t>
  </si>
  <si>
    <t>41°54'5" North</t>
  </si>
  <si>
    <t>12°27'38" East</t>
  </si>
  <si>
    <t>52°13'46" North</t>
  </si>
  <si>
    <t>21°0'44" East</t>
  </si>
  <si>
    <t>48°12'29" North</t>
  </si>
  <si>
    <t>16°22'25" East</t>
  </si>
  <si>
    <t>44°26'15" North</t>
  </si>
  <si>
    <t>26°5'50" East</t>
  </si>
  <si>
    <t>38°43'25" North</t>
  </si>
  <si>
    <t>9°8'23" West</t>
  </si>
  <si>
    <t>50°4'31" North</t>
  </si>
  <si>
    <t>14°26'16" East</t>
  </si>
  <si>
    <t>Las P. de Gran Canaria</t>
  </si>
  <si>
    <t>Logroño</t>
  </si>
  <si>
    <t>Oviedo</t>
  </si>
  <si>
    <t>Pamplona</t>
  </si>
  <si>
    <t>Palma de Mallorca</t>
  </si>
  <si>
    <t>Santander</t>
  </si>
  <si>
    <t>42°27'56" North</t>
  </si>
  <si>
    <t> 2°26'59" West</t>
  </si>
  <si>
    <t>43°21'37" North</t>
  </si>
  <si>
    <t>5°50'41" West</t>
  </si>
  <si>
    <t>39°34'10" North</t>
  </si>
  <si>
    <t>2°38'59" East</t>
  </si>
  <si>
    <t xml:space="preserve"> 42°49'4" North</t>
  </si>
  <si>
    <t>1°38'39" West</t>
  </si>
  <si>
    <t>43°27'39" North</t>
  </si>
  <si>
    <t>3°48'28" West</t>
  </si>
  <si>
    <t>Ciuadades Africanas</t>
  </si>
  <si>
    <t>Ciudades Asiáticas</t>
  </si>
  <si>
    <t>Ciudades Americanas</t>
  </si>
  <si>
    <t>Ourense</t>
  </si>
  <si>
    <t>Rabat</t>
  </si>
  <si>
    <t>34°0'54" North</t>
  </si>
  <si>
    <t>6°49'57" West</t>
  </si>
  <si>
    <t>El Cairo</t>
  </si>
  <si>
    <t>31°14'8" East</t>
  </si>
  <si>
    <t xml:space="preserve">Nueva York </t>
  </si>
  <si>
    <t>30°2'39" North</t>
  </si>
  <si>
    <t>Miami</t>
  </si>
  <si>
    <t>San Diego</t>
  </si>
  <si>
    <t>Atlanta</t>
  </si>
  <si>
    <t>Las Vegas</t>
  </si>
  <si>
    <t>Seattle</t>
  </si>
  <si>
    <t>Ciudad del Cabo</t>
  </si>
  <si>
    <t>33°55'29" South</t>
  </si>
  <si>
    <t>18°25'26" East</t>
  </si>
  <si>
    <t>Dakar</t>
  </si>
  <si>
    <t>14°41'34" North</t>
  </si>
  <si>
    <t>17°26'48" West</t>
  </si>
  <si>
    <t>Nairobi</t>
  </si>
  <si>
    <t>1°17'31" South</t>
  </si>
  <si>
    <t>36°49'19" East</t>
  </si>
  <si>
    <t>Kinshasa</t>
  </si>
  <si>
    <t>4°19'54" South</t>
  </si>
  <si>
    <t>15°18'50" East</t>
  </si>
  <si>
    <t>Bagdag</t>
  </si>
  <si>
    <t>Bangkok</t>
  </si>
  <si>
    <t>Pekín</t>
  </si>
  <si>
    <t>Riad</t>
  </si>
  <si>
    <t>Tokio</t>
  </si>
  <si>
    <t>33°20'00"N</t>
  </si>
  <si>
    <t>44°26'00" E</t>
  </si>
  <si>
    <t>13°45'08"N</t>
  </si>
  <si>
    <t>100°29'38"E</t>
  </si>
  <si>
    <t>39°54'14"N</t>
  </si>
  <si>
    <t>116°24'25"E</t>
  </si>
  <si>
    <t>35°42'2"N</t>
  </si>
  <si>
    <t>139°42'54"E</t>
  </si>
  <si>
    <t>Norte</t>
  </si>
  <si>
    <t>Sur</t>
  </si>
  <si>
    <t>55°48'34" North</t>
  </si>
  <si>
    <t>24°38'00"N</t>
  </si>
  <si>
    <t>46°43'00"E</t>
  </si>
  <si>
    <t>Buenos Aires</t>
  </si>
  <si>
    <t>La Habana</t>
  </si>
  <si>
    <t>La Paz</t>
  </si>
  <si>
    <t>Lima</t>
  </si>
  <si>
    <t>Río Janeiro</t>
  </si>
  <si>
    <t>33,65 N</t>
  </si>
  <si>
    <t>33,93 N</t>
  </si>
  <si>
    <t>36,08 N</t>
  </si>
  <si>
    <t>25,8 N</t>
  </si>
  <si>
    <t>40,78 N</t>
  </si>
  <si>
    <t>32,73 N</t>
  </si>
  <si>
    <t>47,45 N</t>
  </si>
  <si>
    <t>58°22'19" W</t>
  </si>
  <si>
    <t>34°36'30" S</t>
  </si>
  <si>
    <t>82°22'00" W</t>
  </si>
  <si>
    <t>16°30'00" S</t>
  </si>
  <si>
    <t>68°80'00" W</t>
  </si>
  <si>
    <t>23°80'00" N</t>
  </si>
  <si>
    <t>12°02'00" S</t>
  </si>
  <si>
    <t>22°54'00" S</t>
  </si>
  <si>
    <t>43°13'59" W</t>
  </si>
  <si>
    <t>LosÁngeles</t>
  </si>
  <si>
    <t>Washington</t>
  </si>
  <si>
    <t>38°53'42" N</t>
  </si>
  <si>
    <t>77°02'12" W</t>
  </si>
  <si>
    <t>Bilbao</t>
  </si>
  <si>
    <t>San Sebastián</t>
  </si>
  <si>
    <t>Vitoria</t>
  </si>
  <si>
    <t>43°19'14" North</t>
  </si>
  <si>
    <t>1°59'4" West</t>
  </si>
  <si>
    <t>42°50'48" North</t>
  </si>
  <si>
    <t>2°40'17" West</t>
  </si>
  <si>
    <r>
      <t>Temperatura media mensual (</t>
    </r>
    <r>
      <rPr>
        <b/>
        <sz val="12"/>
        <color indexed="9"/>
        <rFont val="Calibri"/>
        <family val="2"/>
      </rPr>
      <t>°</t>
    </r>
    <r>
      <rPr>
        <b/>
        <i/>
        <sz val="12"/>
        <color indexed="9"/>
        <rFont val="Calibri"/>
        <family val="2"/>
      </rPr>
      <t>C)</t>
    </r>
  </si>
  <si>
    <t>NASA</t>
  </si>
  <si>
    <t>PVGIS - Classic</t>
  </si>
  <si>
    <t>77°01'00" W</t>
  </si>
  <si>
    <t>Caracas (Venezuela)</t>
  </si>
  <si>
    <t>Buenos Aires (Argentina)</t>
  </si>
  <si>
    <t>San Salvador (El Salvador)</t>
  </si>
  <si>
    <t>Tegucigalpa (Honduras)</t>
  </si>
  <si>
    <t>Managua (Nicaragua)</t>
  </si>
  <si>
    <t>La Habana (Cuba)</t>
  </si>
  <si>
    <t>Amsterdam (Países Bajos)</t>
  </si>
  <si>
    <t>Atenas (Grecia)</t>
  </si>
  <si>
    <t>Berlín (Alemania)</t>
  </si>
  <si>
    <t>Bruselas (Bélgica)</t>
  </si>
  <si>
    <t>Bucarest (Rumanía)</t>
  </si>
  <si>
    <t>Budapest (Hungría)</t>
  </si>
  <si>
    <t>Estocolmo (Suecia)</t>
  </si>
  <si>
    <t>Helsinki (Finlandia)</t>
  </si>
  <si>
    <t>Lisboa (Portugal)</t>
  </si>
  <si>
    <t>Londres (Reino Unido)</t>
  </si>
  <si>
    <t>Luxemburgo (Luxemburgo)</t>
  </si>
  <si>
    <t>Oslo (Noruega)</t>
  </si>
  <si>
    <t>París (Francia)</t>
  </si>
  <si>
    <t>Praga (Rep. Checa)</t>
  </si>
  <si>
    <t>Riga (Letonia)</t>
  </si>
  <si>
    <t>Roma (Italia)</t>
  </si>
  <si>
    <t>Varsovia (Polonia)</t>
  </si>
  <si>
    <t>Viena (Austria)</t>
  </si>
  <si>
    <t>Zagreb (Croacia)</t>
  </si>
  <si>
    <t>Copenhague (Dinamarca)</t>
  </si>
  <si>
    <t>Dublín (Irlanda)</t>
  </si>
  <si>
    <t>Belgrado (Serbia)</t>
  </si>
  <si>
    <t>Berna (Suiza)</t>
  </si>
  <si>
    <t>Kiev (Ucrania)</t>
  </si>
  <si>
    <t>Washington D.C.</t>
  </si>
  <si>
    <t>Seattle (Washington)</t>
  </si>
  <si>
    <t>Miami (Florida)</t>
  </si>
  <si>
    <t>Centro</t>
  </si>
  <si>
    <t>EEUU</t>
  </si>
  <si>
    <t>Canadá</t>
  </si>
  <si>
    <t>México</t>
  </si>
  <si>
    <t>Atlanta (Georgia)</t>
  </si>
  <si>
    <t>Las Vegas (Nevada)</t>
  </si>
  <si>
    <t>Dénver (Colorado)</t>
  </si>
  <si>
    <t>Dallas (Texas)</t>
  </si>
  <si>
    <t>Los Angeles (California)</t>
  </si>
  <si>
    <t>Minneapolis (Minnesota)</t>
  </si>
  <si>
    <t>Montreal (Quebec)</t>
  </si>
  <si>
    <t>Ciudad de México</t>
  </si>
  <si>
    <t>Río Janeiro (Brasil)</t>
  </si>
  <si>
    <t>Lima (Perú)</t>
  </si>
  <si>
    <t>La Paz (Bolivia)</t>
  </si>
  <si>
    <t>Bogotá (Colombia)</t>
  </si>
  <si>
    <t>Ciudad del Cabo (Sudáfrica)</t>
  </si>
  <si>
    <t>Dakar (Senegal)</t>
  </si>
  <si>
    <t>El Cairo (Egipto)</t>
  </si>
  <si>
    <t>Kinshasa (R.D. Congo)</t>
  </si>
  <si>
    <t>Nairobi (Kenia)</t>
  </si>
  <si>
    <t>Rabat (Marruecos)</t>
  </si>
  <si>
    <t>Bagdag (Irak)</t>
  </si>
  <si>
    <t>Bangkok (Tailandia)</t>
  </si>
  <si>
    <t>Moscú (Rusia)</t>
  </si>
  <si>
    <t>Pekín (China)</t>
  </si>
  <si>
    <t>Riad (Arabia Saudí)</t>
  </si>
  <si>
    <t>Tokio (Japón)</t>
  </si>
  <si>
    <t>**Algunos valores modificados en Hoja 1</t>
  </si>
  <si>
    <t>Orense</t>
  </si>
  <si>
    <t>Nueva York (Nueva York)</t>
  </si>
  <si>
    <t>Montevideo (Uruguay)</t>
  </si>
  <si>
    <t>Chicago (Illinois)</t>
  </si>
  <si>
    <t>Santiago (Chile)</t>
  </si>
  <si>
    <t>Vancouver (Columbia Británica)</t>
  </si>
</sst>
</file>

<file path=xl/styles.xml><?xml version="1.0" encoding="utf-8"?>
<styleSheet xmlns="http://schemas.openxmlformats.org/spreadsheetml/2006/main">
  <numFmts count="1">
    <numFmt numFmtId="164" formatCode="0.000"/>
  </numFmts>
  <fonts count="14">
    <font>
      <sz val="11"/>
      <color theme="1"/>
      <name val="Calibri"/>
      <family val="2"/>
      <scheme val="minor"/>
    </font>
    <font>
      <b/>
      <i/>
      <sz val="12"/>
      <color indexed="9"/>
      <name val="Calibri"/>
      <family val="2"/>
    </font>
    <font>
      <b/>
      <sz val="12"/>
      <color indexed="9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B050"/>
      <name val="Arial"/>
      <family val="2"/>
    </font>
    <font>
      <b/>
      <sz val="11"/>
      <color rgb="FF00B0F0"/>
      <name val="Arial"/>
      <family val="2"/>
    </font>
    <font>
      <sz val="10"/>
      <color theme="1"/>
      <name val="Arial"/>
      <family val="2"/>
    </font>
    <font>
      <b/>
      <sz val="11"/>
      <color rgb="FF00B050"/>
      <name val="Arial"/>
      <family val="2"/>
    </font>
    <font>
      <b/>
      <sz val="11"/>
      <color rgb="FFFFFF00"/>
      <name val="Arial"/>
      <family val="2"/>
    </font>
    <font>
      <b/>
      <sz val="11"/>
      <color theme="9" tint="-0.249977111117893"/>
      <name val="Arial"/>
      <family val="2"/>
    </font>
    <font>
      <sz val="10"/>
      <color rgb="FF000000"/>
      <name val="Arial"/>
      <family val="2"/>
    </font>
    <font>
      <b/>
      <i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D85D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" fontId="8" fillId="0" borderId="0" xfId="0" applyNumberFormat="1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right"/>
    </xf>
    <xf numFmtId="0" fontId="10" fillId="2" borderId="0" xfId="0" applyFont="1" applyFill="1" applyAlignment="1">
      <alignment horizontal="center"/>
    </xf>
    <xf numFmtId="1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164" fontId="0" fillId="4" borderId="0" xfId="0" applyNumberFormat="1" applyFill="1" applyAlignment="1">
      <alignment horizontal="center"/>
    </xf>
    <xf numFmtId="0" fontId="0" fillId="5" borderId="0" xfId="0" applyFill="1"/>
    <xf numFmtId="0" fontId="7" fillId="0" borderId="0" xfId="0" applyFont="1" applyFill="1" applyAlignment="1">
      <alignment horizontal="center"/>
    </xf>
    <xf numFmtId="0" fontId="3" fillId="0" borderId="0" xfId="1" applyAlignment="1" applyProtection="1"/>
    <xf numFmtId="0" fontId="12" fillId="0" borderId="0" xfId="0" applyFont="1"/>
    <xf numFmtId="0" fontId="12" fillId="0" borderId="0" xfId="0" applyFont="1" applyAlignment="1">
      <alignment wrapText="1"/>
    </xf>
    <xf numFmtId="0" fontId="11" fillId="6" borderId="0" xfId="0" applyFont="1" applyFill="1" applyAlignment="1">
      <alignment horizontal="left"/>
    </xf>
    <xf numFmtId="0" fontId="4" fillId="0" borderId="0" xfId="0" applyFont="1"/>
    <xf numFmtId="0" fontId="13" fillId="2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84"/>
  <sheetViews>
    <sheetView tabSelected="1" zoomScale="110" zoomScaleNormal="110" workbookViewId="0"/>
  </sheetViews>
  <sheetFormatPr baseColWidth="10" defaultRowHeight="15"/>
  <cols>
    <col min="1" max="1" width="34.7109375" customWidth="1"/>
    <col min="2" max="2" width="14.85546875" customWidth="1"/>
    <col min="3" max="3" width="12.42578125" customWidth="1"/>
    <col min="4" max="28" width="10.7109375" customWidth="1"/>
  </cols>
  <sheetData>
    <row r="1" spans="1:28" ht="15.75">
      <c r="D1" s="26" t="s">
        <v>151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 t="s">
        <v>304</v>
      </c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8" ht="15.75">
      <c r="A2" s="2" t="s">
        <v>30</v>
      </c>
      <c r="B2" s="7" t="s">
        <v>148</v>
      </c>
      <c r="C2" s="7" t="s">
        <v>147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37</v>
      </c>
      <c r="I2" s="7" t="s">
        <v>38</v>
      </c>
      <c r="J2" s="7" t="s">
        <v>39</v>
      </c>
      <c r="K2" s="7" t="s">
        <v>40</v>
      </c>
      <c r="L2" s="7" t="s">
        <v>41</v>
      </c>
      <c r="M2" s="7" t="s">
        <v>42</v>
      </c>
      <c r="N2" s="7" t="s">
        <v>43</v>
      </c>
      <c r="O2" s="7" t="s">
        <v>44</v>
      </c>
      <c r="P2" s="15" t="s">
        <v>33</v>
      </c>
      <c r="Q2" s="15" t="s">
        <v>34</v>
      </c>
      <c r="R2" s="15" t="s">
        <v>35</v>
      </c>
      <c r="S2" s="15" t="s">
        <v>36</v>
      </c>
      <c r="T2" s="15" t="s">
        <v>37</v>
      </c>
      <c r="U2" s="15" t="s">
        <v>38</v>
      </c>
      <c r="V2" s="15" t="s">
        <v>39</v>
      </c>
      <c r="W2" s="15" t="s">
        <v>40</v>
      </c>
      <c r="X2" s="15" t="s">
        <v>41</v>
      </c>
      <c r="Y2" s="15" t="s">
        <v>42</v>
      </c>
      <c r="Z2" s="15" t="s">
        <v>43</v>
      </c>
      <c r="AA2" s="15" t="s">
        <v>44</v>
      </c>
    </row>
    <row r="3" spans="1:28">
      <c r="A3" s="3" t="s">
        <v>0</v>
      </c>
      <c r="B3" s="12">
        <f>-(1+51/60+36/3600)</f>
        <v>-1.86</v>
      </c>
      <c r="C3" s="12">
        <f>38+(59/60)+(51/3600)</f>
        <v>38.997500000000002</v>
      </c>
      <c r="D3">
        <f>Hoja2!D3/Hoja2!$B$105</f>
        <v>2.33</v>
      </c>
      <c r="E3">
        <f>Hoja2!E3/Hoja2!$B$105</f>
        <v>3.06</v>
      </c>
      <c r="F3">
        <f>Hoja2!F3/Hoja2!$B$105</f>
        <v>4.46</v>
      </c>
      <c r="G3">
        <f>Hoja2!G3/Hoja2!$B$105</f>
        <v>5.33</v>
      </c>
      <c r="H3">
        <f>Hoja2!H3/Hoja2!$B$105</f>
        <v>6.48</v>
      </c>
      <c r="I3">
        <f>Hoja2!I3/Hoja2!$B$105</f>
        <v>7.06</v>
      </c>
      <c r="J3">
        <f>Hoja2!J3/Hoja2!$B$105</f>
        <v>7.09</v>
      </c>
      <c r="K3">
        <f>Hoja2!K3/Hoja2!$B$105</f>
        <v>6.28</v>
      </c>
      <c r="L3">
        <f>Hoja2!L3/Hoja2!$B$105</f>
        <v>5.05</v>
      </c>
      <c r="M3">
        <f>Hoja2!M3/Hoja2!$B$105</f>
        <v>3.66</v>
      </c>
      <c r="N3">
        <f>Hoja2!N3/Hoja2!$B$105</f>
        <v>2.4500000000000002</v>
      </c>
      <c r="O3">
        <f>Hoja2!O3/Hoja2!$B$105</f>
        <v>2</v>
      </c>
      <c r="P3" s="16">
        <v>5.2</v>
      </c>
      <c r="Q3" s="16">
        <v>6.5</v>
      </c>
      <c r="R3" s="16">
        <v>9.4</v>
      </c>
      <c r="S3" s="16">
        <v>12.2</v>
      </c>
      <c r="T3" s="16">
        <v>16</v>
      </c>
      <c r="U3" s="16">
        <v>21.2</v>
      </c>
      <c r="V3" s="16">
        <v>24.2</v>
      </c>
      <c r="W3" s="16">
        <v>24</v>
      </c>
      <c r="X3" s="16">
        <v>19.399999999999999</v>
      </c>
      <c r="Y3" s="16">
        <v>15.1</v>
      </c>
      <c r="Z3" s="16">
        <v>9</v>
      </c>
      <c r="AA3" s="16">
        <v>6.2</v>
      </c>
      <c r="AB3" t="s">
        <v>306</v>
      </c>
    </row>
    <row r="4" spans="1:28">
      <c r="A4" s="3" t="s">
        <v>1</v>
      </c>
      <c r="B4" s="12">
        <f>-(0+28/60+51/3600)</f>
        <v>-0.48083333333333333</v>
      </c>
      <c r="C4" s="12">
        <f>38+(20/60)+(42/3600)</f>
        <v>38.344999999999999</v>
      </c>
      <c r="D4">
        <f>Hoja2!D4/Hoja2!$B$105</f>
        <v>2.3199999999999998</v>
      </c>
      <c r="E4">
        <f>Hoja2!E4/Hoja2!$B$105</f>
        <v>3.09</v>
      </c>
      <c r="F4">
        <f>Hoja2!F4/Hoja2!$B$105</f>
        <v>4.34</v>
      </c>
      <c r="G4">
        <f>Hoja2!G4/Hoja2!$B$105</f>
        <v>5.26</v>
      </c>
      <c r="H4">
        <f>Hoja2!H4/Hoja2!$B$105</f>
        <v>6.37</v>
      </c>
      <c r="I4">
        <f>Hoja2!I4/Hoja2!$B$105</f>
        <v>6.89</v>
      </c>
      <c r="J4">
        <f>Hoja2!J4/Hoja2!$B$105</f>
        <v>6.91</v>
      </c>
      <c r="K4">
        <f>Hoja2!K4/Hoja2!$B$105</f>
        <v>6.09</v>
      </c>
      <c r="L4">
        <f>Hoja2!L4/Hoja2!$B$105</f>
        <v>4.93</v>
      </c>
      <c r="M4">
        <f>Hoja2!M4/Hoja2!$B$105</f>
        <v>3.71</v>
      </c>
      <c r="N4">
        <f>Hoja2!N4/Hoja2!$B$105</f>
        <v>2.38</v>
      </c>
      <c r="O4">
        <f>Hoja2!O4/Hoja2!$B$105</f>
        <v>2.0699999999999998</v>
      </c>
      <c r="P4" s="16">
        <v>12.4</v>
      </c>
      <c r="Q4" s="16">
        <v>12.8</v>
      </c>
      <c r="R4" s="16">
        <v>13.8</v>
      </c>
      <c r="S4" s="16">
        <v>15</v>
      </c>
      <c r="T4" s="16">
        <v>17.600000000000001</v>
      </c>
      <c r="U4" s="16">
        <v>20.9</v>
      </c>
      <c r="V4" s="16">
        <v>23.5</v>
      </c>
      <c r="W4" s="16">
        <v>24.2</v>
      </c>
      <c r="X4" s="16">
        <v>23</v>
      </c>
      <c r="Y4" s="16">
        <v>20.100000000000001</v>
      </c>
      <c r="Z4" s="16">
        <v>15.7</v>
      </c>
      <c r="AA4" s="16">
        <v>13.8</v>
      </c>
    </row>
    <row r="5" spans="1:28">
      <c r="A5" s="3" t="s">
        <v>56</v>
      </c>
      <c r="B5" s="12">
        <f>-(2+28/60+4/3600)</f>
        <v>-2.4677777777777781</v>
      </c>
      <c r="C5" s="12">
        <f>36+(50/60)+(24/3600)</f>
        <v>36.840000000000003</v>
      </c>
      <c r="D5">
        <f>Hoja2!D5/Hoja2!$B$105</f>
        <v>2.4900000000000002</v>
      </c>
      <c r="E5">
        <f>Hoja2!E5/Hoja2!$B$105</f>
        <v>3.21</v>
      </c>
      <c r="F5">
        <f>Hoja2!F5/Hoja2!$B$105</f>
        <v>4.47</v>
      </c>
      <c r="G5">
        <f>Hoja2!G5/Hoja2!$B$105</f>
        <v>5.29</v>
      </c>
      <c r="H5">
        <f>Hoja2!H5/Hoja2!$B$105</f>
        <v>6.42</v>
      </c>
      <c r="I5">
        <f>Hoja2!I5/Hoja2!$B$105</f>
        <v>6.94</v>
      </c>
      <c r="J5">
        <f>Hoja2!J5/Hoja2!$B$105</f>
        <v>6.89</v>
      </c>
      <c r="K5">
        <f>Hoja2!K5/Hoja2!$B$105</f>
        <v>6.05</v>
      </c>
      <c r="L5">
        <f>Hoja2!L5/Hoja2!$B$105</f>
        <v>4.9000000000000004</v>
      </c>
      <c r="M5">
        <f>Hoja2!M5/Hoja2!$B$105</f>
        <v>3.76</v>
      </c>
      <c r="N5">
        <f>Hoja2!N5/Hoja2!$B$105</f>
        <v>2.5299999999999998</v>
      </c>
      <c r="O5">
        <f>Hoja2!O5/Hoja2!$B$105</f>
        <v>2.1800000000000002</v>
      </c>
      <c r="P5" s="16">
        <v>13.6</v>
      </c>
      <c r="Q5" s="16">
        <v>13.6</v>
      </c>
      <c r="R5" s="16">
        <v>14.9</v>
      </c>
      <c r="S5" s="16">
        <v>16.3</v>
      </c>
      <c r="T5" s="16">
        <v>18.600000000000001</v>
      </c>
      <c r="U5" s="16">
        <v>21.6</v>
      </c>
      <c r="V5" s="16">
        <v>24.3</v>
      </c>
      <c r="W5" s="16">
        <v>25</v>
      </c>
      <c r="X5" s="16">
        <v>23.3</v>
      </c>
      <c r="Y5" s="16">
        <v>20.399999999999999</v>
      </c>
      <c r="Z5" s="16">
        <v>16.600000000000001</v>
      </c>
      <c r="AA5" s="16">
        <v>14.6</v>
      </c>
    </row>
    <row r="6" spans="1:28">
      <c r="A6" s="3" t="s">
        <v>45</v>
      </c>
      <c r="B6" s="12">
        <f>-(4+42/60+1/3600)</f>
        <v>-4.700277777777778</v>
      </c>
      <c r="C6" s="12">
        <f>40+39/60+23/3600</f>
        <v>40.656388888888884</v>
      </c>
      <c r="D6">
        <f>Hoja2!D6/Hoja2!$B$105</f>
        <v>2</v>
      </c>
      <c r="E6">
        <f>Hoja2!E6/Hoja2!$B$105</f>
        <v>2.78</v>
      </c>
      <c r="F6">
        <f>Hoja2!F6/Hoja2!$B$105</f>
        <v>4.5599999999999996</v>
      </c>
      <c r="G6">
        <f>Hoja2!G6/Hoja2!$B$105</f>
        <v>5.24</v>
      </c>
      <c r="H6">
        <f>Hoja2!H6/Hoja2!$B$105</f>
        <v>6.59</v>
      </c>
      <c r="I6">
        <f>Hoja2!I6/Hoja2!$B$105</f>
        <v>7.28</v>
      </c>
      <c r="J6">
        <f>Hoja2!J6/Hoja2!$B$105</f>
        <v>7.39</v>
      </c>
      <c r="K6">
        <f>Hoja2!K6/Hoja2!$B$105</f>
        <v>6.55</v>
      </c>
      <c r="L6">
        <f>Hoja2!L6/Hoja2!$B$105</f>
        <v>4.95</v>
      </c>
      <c r="M6">
        <f>Hoja2!M6/Hoja2!$B$105</f>
        <v>3.4</v>
      </c>
      <c r="N6">
        <f>Hoja2!N6/Hoja2!$B$105</f>
        <v>2.12</v>
      </c>
      <c r="O6">
        <f>Hoja2!O6/Hoja2!$B$105</f>
        <v>1.6</v>
      </c>
      <c r="P6" s="16">
        <v>2.4</v>
      </c>
      <c r="Q6" s="16">
        <v>3.1</v>
      </c>
      <c r="R6" s="16">
        <v>6</v>
      </c>
      <c r="S6" s="16">
        <v>8.4</v>
      </c>
      <c r="T6" s="16">
        <v>12.6</v>
      </c>
      <c r="U6" s="16">
        <v>18.399999999999999</v>
      </c>
      <c r="V6" s="16">
        <v>21.1</v>
      </c>
      <c r="W6" s="16">
        <v>20.9</v>
      </c>
      <c r="X6" s="16">
        <v>16.899999999999999</v>
      </c>
      <c r="Y6" s="16">
        <v>11.4</v>
      </c>
      <c r="Z6" s="16">
        <v>5.5</v>
      </c>
      <c r="AA6" s="16">
        <v>3.1</v>
      </c>
    </row>
    <row r="7" spans="1:28">
      <c r="A7" s="3" t="s">
        <v>2</v>
      </c>
      <c r="B7" s="12">
        <f>-(6+58/60+12/3600)</f>
        <v>-6.97</v>
      </c>
      <c r="C7" s="12">
        <f>38+52/60+42/3600</f>
        <v>38.87833333333333</v>
      </c>
      <c r="D7">
        <f>Hoja2!D7/Hoja2!$B$105</f>
        <v>2.23</v>
      </c>
      <c r="E7">
        <f>Hoja2!E7/Hoja2!$B$105</f>
        <v>2.88</v>
      </c>
      <c r="F7">
        <f>Hoja2!F7/Hoja2!$B$105</f>
        <v>4.72</v>
      </c>
      <c r="G7">
        <f>Hoja2!G7/Hoja2!$B$105</f>
        <v>5.13</v>
      </c>
      <c r="H7">
        <f>Hoja2!H7/Hoja2!$B$105</f>
        <v>6.61</v>
      </c>
      <c r="I7">
        <f>Hoja2!I7/Hoja2!$B$105</f>
        <v>7.25</v>
      </c>
      <c r="J7">
        <f>Hoja2!J7/Hoja2!$B$105</f>
        <v>7.22</v>
      </c>
      <c r="K7">
        <f>Hoja2!K7/Hoja2!$B$105</f>
        <v>6.65</v>
      </c>
      <c r="L7">
        <f>Hoja2!L7/Hoja2!$B$105</f>
        <v>5.0999999999999996</v>
      </c>
      <c r="M7">
        <f>Hoja2!M7/Hoja2!$B$105</f>
        <v>3.68</v>
      </c>
      <c r="N7">
        <f>Hoja2!N7/Hoja2!$B$105</f>
        <v>2.3199999999999998</v>
      </c>
      <c r="O7">
        <f>Hoja2!O7/Hoja2!$B$105</f>
        <v>1.93</v>
      </c>
      <c r="P7" s="16">
        <v>8.1999999999999993</v>
      </c>
      <c r="Q7" s="16">
        <v>9.5</v>
      </c>
      <c r="R7" s="16">
        <v>12.4</v>
      </c>
      <c r="S7" s="16">
        <v>14.6</v>
      </c>
      <c r="T7" s="16">
        <v>18.7</v>
      </c>
      <c r="U7" s="16">
        <v>23.8</v>
      </c>
      <c r="V7" s="16">
        <v>25.9</v>
      </c>
      <c r="W7" s="16">
        <v>26.2</v>
      </c>
      <c r="X7" s="16">
        <v>22.7</v>
      </c>
      <c r="Y7" s="16">
        <v>17.7</v>
      </c>
      <c r="Z7" s="16">
        <v>11.8</v>
      </c>
      <c r="AA7" s="16">
        <v>8.9</v>
      </c>
    </row>
    <row r="8" spans="1:28">
      <c r="A8" s="3" t="s">
        <v>3</v>
      </c>
      <c r="B8" s="12">
        <f>(2+10/60+11/3600)</f>
        <v>2.1697222222222221</v>
      </c>
      <c r="C8" s="12">
        <f>41+23/60+16/3600</f>
        <v>41.387777777777778</v>
      </c>
      <c r="D8">
        <f>Hoja2!D8/Hoja2!$B$105</f>
        <v>1.89</v>
      </c>
      <c r="E8">
        <f>Hoja2!E8/Hoja2!$B$105</f>
        <v>2.56</v>
      </c>
      <c r="F8">
        <f>Hoja2!F8/Hoja2!$B$105</f>
        <v>3.91</v>
      </c>
      <c r="G8">
        <f>Hoja2!G8/Hoja2!$B$105</f>
        <v>4.9000000000000004</v>
      </c>
      <c r="H8">
        <f>Hoja2!H8/Hoja2!$B$105</f>
        <v>5.84</v>
      </c>
      <c r="I8">
        <f>Hoja2!I8/Hoja2!$B$105</f>
        <v>6.55</v>
      </c>
      <c r="J8">
        <f>Hoja2!J8/Hoja2!$B$105</f>
        <v>6.58</v>
      </c>
      <c r="K8">
        <f>Hoja2!K8/Hoja2!$B$105</f>
        <v>5.78</v>
      </c>
      <c r="L8">
        <f>Hoja2!L8/Hoja2!$B$105</f>
        <v>4.53</v>
      </c>
      <c r="M8">
        <f>Hoja2!M8/Hoja2!$B$105</f>
        <v>3.16</v>
      </c>
      <c r="N8">
        <f>Hoja2!N8/Hoja2!$B$105</f>
        <v>2.04</v>
      </c>
      <c r="O8">
        <f>Hoja2!O8/Hoja2!$B$105</f>
        <v>1.68</v>
      </c>
      <c r="P8" s="16">
        <v>9.9</v>
      </c>
      <c r="Q8" s="16">
        <v>10.1</v>
      </c>
      <c r="R8" s="16">
        <v>12</v>
      </c>
      <c r="S8" s="16">
        <v>14.1</v>
      </c>
      <c r="T8" s="16">
        <v>16.899999999999999</v>
      </c>
      <c r="U8" s="16">
        <v>20.9</v>
      </c>
      <c r="V8" s="16">
        <v>23.5</v>
      </c>
      <c r="W8" s="16">
        <v>24.4</v>
      </c>
      <c r="X8" s="16">
        <v>21.8</v>
      </c>
      <c r="Y8" s="16">
        <v>18.8</v>
      </c>
      <c r="Z8" s="16">
        <v>14.1</v>
      </c>
      <c r="AA8" s="16">
        <v>10.9</v>
      </c>
    </row>
    <row r="9" spans="1:28">
      <c r="A9" s="3" t="s">
        <v>297</v>
      </c>
      <c r="B9" s="12">
        <f>-(2+55/60+24/3600)</f>
        <v>-2.9233333333333333</v>
      </c>
      <c r="C9" s="12">
        <f>43+15/60+2/3600</f>
        <v>43.250555555555557</v>
      </c>
      <c r="D9">
        <f>Hoja2!D9/Hoja2!$B$105</f>
        <v>1.43</v>
      </c>
      <c r="E9">
        <f>Hoja2!E9/Hoja2!$B$105</f>
        <v>2.12</v>
      </c>
      <c r="F9">
        <f>Hoja2!F9/Hoja2!$B$105</f>
        <v>3.5</v>
      </c>
      <c r="G9">
        <f>Hoja2!G9/Hoja2!$B$105</f>
        <v>4.3</v>
      </c>
      <c r="H9">
        <f>Hoja2!H9/Hoja2!$B$105</f>
        <v>5.3</v>
      </c>
      <c r="I9">
        <f>Hoja2!I9/Hoja2!$B$105</f>
        <v>5.86</v>
      </c>
      <c r="J9">
        <f>Hoja2!J9/Hoja2!$B$105</f>
        <v>5.84</v>
      </c>
      <c r="K9">
        <f>Hoja2!K9/Hoja2!$B$105</f>
        <v>5.14</v>
      </c>
      <c r="L9">
        <f>Hoja2!L9/Hoja2!$B$105</f>
        <v>4.16</v>
      </c>
      <c r="M9">
        <f>Hoja2!M9/Hoja2!$B$105</f>
        <v>2.72</v>
      </c>
      <c r="N9">
        <f>Hoja2!N9/Hoja2!$B$105</f>
        <v>1.64</v>
      </c>
      <c r="O9">
        <f>Hoja2!O9/Hoja2!$B$105</f>
        <v>1.23</v>
      </c>
      <c r="P9" s="16">
        <v>7.2</v>
      </c>
      <c r="Q9" s="16">
        <v>8</v>
      </c>
      <c r="R9" s="16">
        <v>10.8</v>
      </c>
      <c r="S9" s="16">
        <v>12.3</v>
      </c>
      <c r="T9" s="16">
        <v>15.3</v>
      </c>
      <c r="U9" s="16">
        <v>18.399999999999999</v>
      </c>
      <c r="V9" s="16">
        <v>19.899999999999999</v>
      </c>
      <c r="W9" s="16">
        <v>20.399999999999999</v>
      </c>
      <c r="X9" s="16">
        <v>18.5</v>
      </c>
      <c r="Y9" s="16">
        <v>15.9</v>
      </c>
      <c r="Z9" s="16">
        <v>10.9</v>
      </c>
      <c r="AA9" s="16">
        <v>8</v>
      </c>
    </row>
    <row r="10" spans="1:28">
      <c r="A10" s="3" t="s">
        <v>4</v>
      </c>
      <c r="B10" s="12">
        <f>-(3+41/60+59/3600)</f>
        <v>-3.6997222222222224</v>
      </c>
      <c r="C10" s="12">
        <f>42+20/60+27/3600</f>
        <v>42.340833333333336</v>
      </c>
      <c r="D10">
        <f>Hoja2!D10/Hoja2!$B$105</f>
        <v>1.7</v>
      </c>
      <c r="E10">
        <f>Hoja2!E10/Hoja2!$B$105</f>
        <v>2.5299999999999998</v>
      </c>
      <c r="F10">
        <f>Hoja2!F10/Hoja2!$B$105</f>
        <v>4.0599999999999996</v>
      </c>
      <c r="G10">
        <f>Hoja2!G10/Hoja2!$B$105</f>
        <v>4.88</v>
      </c>
      <c r="H10">
        <f>Hoja2!H10/Hoja2!$B$105</f>
        <v>6.01</v>
      </c>
      <c r="I10">
        <f>Hoja2!I10/Hoja2!$B$105</f>
        <v>6.67</v>
      </c>
      <c r="J10">
        <f>Hoja2!J10/Hoja2!$B$105</f>
        <v>6.75</v>
      </c>
      <c r="K10">
        <f>Hoja2!K10/Hoja2!$B$105</f>
        <v>5.9</v>
      </c>
      <c r="L10">
        <f>Hoja2!L10/Hoja2!$B$105</f>
        <v>4.62</v>
      </c>
      <c r="M10">
        <f>Hoja2!M10/Hoja2!$B$105</f>
        <v>3.1</v>
      </c>
      <c r="N10">
        <f>Hoja2!N10/Hoja2!$B$105</f>
        <v>1.88</v>
      </c>
      <c r="O10">
        <f>Hoja2!O10/Hoja2!$B$105</f>
        <v>1.37</v>
      </c>
      <c r="P10" s="16">
        <v>3.1</v>
      </c>
      <c r="Q10" s="16">
        <v>3.7</v>
      </c>
      <c r="R10" s="16">
        <v>6.9</v>
      </c>
      <c r="S10" s="16">
        <v>8.6</v>
      </c>
      <c r="T10" s="16">
        <v>12.3</v>
      </c>
      <c r="U10" s="16">
        <v>17</v>
      </c>
      <c r="V10" s="16">
        <v>19.2</v>
      </c>
      <c r="W10" s="16">
        <v>19.5</v>
      </c>
      <c r="X10" s="16">
        <v>16.3</v>
      </c>
      <c r="Y10" s="16">
        <v>11.9</v>
      </c>
      <c r="Z10" s="16">
        <v>6.4</v>
      </c>
      <c r="AA10" s="16">
        <v>3.6</v>
      </c>
    </row>
    <row r="11" spans="1:28">
      <c r="A11" s="3" t="s">
        <v>46</v>
      </c>
      <c r="B11" s="12">
        <f>-(6+22/60+14/3600)</f>
        <v>-6.3705555555555549</v>
      </c>
      <c r="C11" s="12">
        <f>39+28/60+34/3600</f>
        <v>39.476111111111116</v>
      </c>
      <c r="D11">
        <f>Hoja2!D11/Hoja2!$B$105</f>
        <v>2.12</v>
      </c>
      <c r="E11">
        <f>Hoja2!E11/Hoja2!$B$105</f>
        <v>2.81</v>
      </c>
      <c r="F11">
        <f>Hoja2!F11/Hoja2!$B$105</f>
        <v>4.62</v>
      </c>
      <c r="G11">
        <f>Hoja2!G11/Hoja2!$B$105</f>
        <v>5.01</v>
      </c>
      <c r="H11">
        <f>Hoja2!H11/Hoja2!$B$105</f>
        <v>6.48</v>
      </c>
      <c r="I11">
        <f>Hoja2!I11/Hoja2!$B$105</f>
        <v>7.2</v>
      </c>
      <c r="J11">
        <f>Hoja2!J11/Hoja2!$B$105</f>
        <v>7.18</v>
      </c>
      <c r="K11">
        <f>Hoja2!K11/Hoja2!$B$105</f>
        <v>6.56</v>
      </c>
      <c r="L11">
        <f>Hoja2!L11/Hoja2!$B$105</f>
        <v>4.9800000000000004</v>
      </c>
      <c r="M11">
        <f>Hoja2!M11/Hoja2!$B$105</f>
        <v>3.5</v>
      </c>
      <c r="N11">
        <f>Hoja2!N11/Hoja2!$B$105</f>
        <v>2.2400000000000002</v>
      </c>
      <c r="O11">
        <f>Hoja2!O11/Hoja2!$B$105</f>
        <v>1.77</v>
      </c>
      <c r="P11" s="16">
        <v>6.9</v>
      </c>
      <c r="Q11" s="16">
        <v>8.1</v>
      </c>
      <c r="R11" s="16">
        <v>10.8</v>
      </c>
      <c r="S11" s="16">
        <v>13.1</v>
      </c>
      <c r="T11" s="16">
        <v>17</v>
      </c>
      <c r="U11" s="16">
        <v>22.3</v>
      </c>
      <c r="V11" s="16">
        <v>24.8</v>
      </c>
      <c r="W11" s="16">
        <v>24.9</v>
      </c>
      <c r="X11" s="16">
        <v>21.2</v>
      </c>
      <c r="Y11" s="16">
        <v>16.2</v>
      </c>
      <c r="Z11" s="16">
        <v>10.199999999999999</v>
      </c>
      <c r="AA11" s="16">
        <v>7.5</v>
      </c>
    </row>
    <row r="12" spans="1:28">
      <c r="A12" s="3" t="s">
        <v>47</v>
      </c>
      <c r="B12" s="12">
        <f>-(6+17/60+33/3600)</f>
        <v>-6.2924999999999995</v>
      </c>
      <c r="C12" s="12">
        <f>36+31/60+46/3600</f>
        <v>36.529444444444444</v>
      </c>
      <c r="D12">
        <f>Hoja2!D12/Hoja2!$B$105</f>
        <v>2.5499999999999998</v>
      </c>
      <c r="E12">
        <f>Hoja2!E12/Hoja2!$B$105</f>
        <v>3.16</v>
      </c>
      <c r="F12">
        <f>Hoja2!F12/Hoja2!$B$105</f>
        <v>4.59</v>
      </c>
      <c r="G12">
        <f>Hoja2!G12/Hoja2!$B$105</f>
        <v>5.4</v>
      </c>
      <c r="H12">
        <f>Hoja2!H12/Hoja2!$B$105</f>
        <v>6.76</v>
      </c>
      <c r="I12">
        <f>Hoja2!I12/Hoja2!$B$105</f>
        <v>7.28</v>
      </c>
      <c r="J12">
        <f>Hoja2!J12/Hoja2!$B$105</f>
        <v>7.16</v>
      </c>
      <c r="K12">
        <f>Hoja2!K12/Hoja2!$B$105</f>
        <v>6.53</v>
      </c>
      <c r="L12">
        <f>Hoja2!L12/Hoja2!$B$105</f>
        <v>5.2</v>
      </c>
      <c r="M12">
        <f>Hoja2!M12/Hoja2!$B$105</f>
        <v>3.93</v>
      </c>
      <c r="N12">
        <f>Hoja2!N12/Hoja2!$B$105</f>
        <v>2.54</v>
      </c>
      <c r="O12">
        <f>Hoja2!O12/Hoja2!$B$105</f>
        <v>2.14</v>
      </c>
      <c r="P12" s="16">
        <v>12.4</v>
      </c>
      <c r="Q12" s="16">
        <v>12.8</v>
      </c>
      <c r="R12" s="16">
        <v>14.5</v>
      </c>
      <c r="S12" s="16">
        <v>15.8</v>
      </c>
      <c r="T12" s="16">
        <v>18.7</v>
      </c>
      <c r="U12" s="16">
        <v>22.4</v>
      </c>
      <c r="V12" s="16">
        <v>24.3</v>
      </c>
      <c r="W12" s="16">
        <v>24.8</v>
      </c>
      <c r="X12" s="16">
        <v>22.8</v>
      </c>
      <c r="Y12" s="16">
        <v>19.600000000000001</v>
      </c>
      <c r="Z12" s="16">
        <v>15.4</v>
      </c>
      <c r="AA12" s="16">
        <v>13.1</v>
      </c>
    </row>
    <row r="13" spans="1:28">
      <c r="A13" s="3" t="s">
        <v>48</v>
      </c>
      <c r="B13" s="12">
        <f>-(0+2/60+9/3600)</f>
        <v>-3.5833333333333335E-2</v>
      </c>
      <c r="C13" s="12">
        <f>39+59/60+9/3600</f>
        <v>39.985833333333332</v>
      </c>
      <c r="D13">
        <f>Hoja2!D13/Hoja2!$B$105</f>
        <v>1.96</v>
      </c>
      <c r="E13">
        <f>Hoja2!E13/Hoja2!$B$105</f>
        <v>2.69</v>
      </c>
      <c r="F13">
        <f>Hoja2!F13/Hoja2!$B$105</f>
        <v>3.88</v>
      </c>
      <c r="G13">
        <f>Hoja2!G13/Hoja2!$B$105</f>
        <v>4.8499999999999996</v>
      </c>
      <c r="H13">
        <f>Hoja2!H13/Hoja2!$B$105</f>
        <v>5.86</v>
      </c>
      <c r="I13">
        <f>Hoja2!I13/Hoja2!$B$105</f>
        <v>6.38</v>
      </c>
      <c r="J13">
        <f>Hoja2!J13/Hoja2!$B$105</f>
        <v>6.39</v>
      </c>
      <c r="K13">
        <f>Hoja2!K13/Hoja2!$B$105</f>
        <v>5.65</v>
      </c>
      <c r="L13">
        <f>Hoja2!L13/Hoja2!$B$105</f>
        <v>4.57</v>
      </c>
      <c r="M13">
        <f>Hoja2!M13/Hoja2!$B$105</f>
        <v>3.3</v>
      </c>
      <c r="N13">
        <f>Hoja2!N13/Hoja2!$B$105</f>
        <v>2.14</v>
      </c>
      <c r="O13">
        <f>Hoja2!O13/Hoja2!$B$105</f>
        <v>1.68</v>
      </c>
      <c r="P13" s="16">
        <v>11</v>
      </c>
      <c r="Q13" s="16">
        <v>11.3</v>
      </c>
      <c r="R13" s="16">
        <v>13.1</v>
      </c>
      <c r="S13" s="16">
        <v>15</v>
      </c>
      <c r="T13" s="16">
        <v>17.8</v>
      </c>
      <c r="U13" s="16">
        <v>21.8</v>
      </c>
      <c r="V13" s="16">
        <v>24.6</v>
      </c>
      <c r="W13" s="16">
        <v>25.1</v>
      </c>
      <c r="X13" s="16">
        <v>22.8</v>
      </c>
      <c r="Y13" s="16">
        <v>19.8</v>
      </c>
      <c r="Z13" s="16">
        <v>15.2</v>
      </c>
      <c r="AA13" s="16">
        <v>11.8</v>
      </c>
    </row>
    <row r="14" spans="1:28">
      <c r="A14" s="3" t="s">
        <v>5</v>
      </c>
      <c r="B14" s="12">
        <f>-(5+18/60+58/3600)</f>
        <v>-5.3161111111111108</v>
      </c>
      <c r="C14" s="12">
        <f>35+53/60+17/3600</f>
        <v>35.888055555555553</v>
      </c>
      <c r="D14">
        <f>Hoja2!D14/Hoja2!$B$105</f>
        <v>2.5299999999999998</v>
      </c>
      <c r="E14">
        <f>Hoja2!E14/Hoja2!$B$105</f>
        <v>3.11</v>
      </c>
      <c r="F14">
        <f>Hoja2!F14/Hoja2!$B$105</f>
        <v>4.4800000000000004</v>
      </c>
      <c r="G14">
        <f>Hoja2!G14/Hoja2!$B$105</f>
        <v>5.27</v>
      </c>
      <c r="H14">
        <f>Hoja2!H14/Hoja2!$B$105</f>
        <v>6.55</v>
      </c>
      <c r="I14">
        <f>Hoja2!I14/Hoja2!$B$105</f>
        <v>7.13</v>
      </c>
      <c r="J14">
        <f>Hoja2!J14/Hoja2!$B$105</f>
        <v>6.85</v>
      </c>
      <c r="K14">
        <f>Hoja2!K14/Hoja2!$B$105</f>
        <v>6.26</v>
      </c>
      <c r="L14">
        <f>Hoja2!L14/Hoja2!$B$105</f>
        <v>4.96</v>
      </c>
      <c r="M14">
        <f>Hoja2!M14/Hoja2!$B$105</f>
        <v>3.85</v>
      </c>
      <c r="N14">
        <f>Hoja2!N14/Hoja2!$B$105</f>
        <v>2.4700000000000002</v>
      </c>
      <c r="O14">
        <f>Hoja2!O14/Hoja2!$B$105</f>
        <v>2.16</v>
      </c>
      <c r="P14" s="16">
        <v>14.3</v>
      </c>
      <c r="Q14" s="16">
        <v>14.4</v>
      </c>
      <c r="R14" s="16">
        <v>15</v>
      </c>
      <c r="S14" s="16">
        <v>15.7</v>
      </c>
      <c r="T14" s="16">
        <v>17.5</v>
      </c>
      <c r="U14" s="16">
        <v>20.100000000000001</v>
      </c>
      <c r="V14" s="16">
        <v>21.9</v>
      </c>
      <c r="W14" s="16">
        <v>22.6</v>
      </c>
      <c r="X14" s="16">
        <v>21.5</v>
      </c>
      <c r="Y14" s="16">
        <v>19.600000000000001</v>
      </c>
      <c r="Z14" s="16">
        <v>16.899999999999999</v>
      </c>
      <c r="AA14" s="16">
        <v>15.1</v>
      </c>
    </row>
    <row r="15" spans="1:28">
      <c r="A15" s="3" t="s">
        <v>55</v>
      </c>
      <c r="B15" s="12">
        <f>-(3+55/60+38/3600)</f>
        <v>-3.9272222222222219</v>
      </c>
      <c r="C15" s="12">
        <f>38+59/60+9/3600</f>
        <v>38.985833333333332</v>
      </c>
      <c r="D15">
        <f>Hoja2!D15/Hoja2!$B$105</f>
        <v>2.27</v>
      </c>
      <c r="E15">
        <f>Hoja2!E15/Hoja2!$B$105</f>
        <v>2.99</v>
      </c>
      <c r="F15">
        <f>Hoja2!F15/Hoja2!$B$105</f>
        <v>4.62</v>
      </c>
      <c r="G15">
        <f>Hoja2!G15/Hoja2!$B$105</f>
        <v>5.27</v>
      </c>
      <c r="H15">
        <f>Hoja2!H15/Hoja2!$B$105</f>
        <v>6.61</v>
      </c>
      <c r="I15">
        <f>Hoja2!I15/Hoja2!$B$105</f>
        <v>7.22</v>
      </c>
      <c r="J15">
        <f>Hoja2!J15/Hoja2!$B$105</f>
        <v>7.2</v>
      </c>
      <c r="K15">
        <f>Hoja2!K15/Hoja2!$B$105</f>
        <v>6.39</v>
      </c>
      <c r="L15">
        <f>Hoja2!L15/Hoja2!$B$105</f>
        <v>5.05</v>
      </c>
      <c r="M15">
        <f>Hoja2!M15/Hoja2!$B$105</f>
        <v>3.57</v>
      </c>
      <c r="N15">
        <f>Hoja2!N15/Hoja2!$B$105</f>
        <v>2.38</v>
      </c>
      <c r="O15">
        <f>Hoja2!O15/Hoja2!$B$105</f>
        <v>1.9</v>
      </c>
      <c r="P15" s="16">
        <v>5</v>
      </c>
      <c r="Q15" s="16">
        <v>6.8</v>
      </c>
      <c r="R15" s="16">
        <v>9.9</v>
      </c>
      <c r="S15" s="16">
        <v>12.5</v>
      </c>
      <c r="T15" s="16">
        <v>16.899999999999999</v>
      </c>
      <c r="U15" s="16">
        <v>23</v>
      </c>
      <c r="V15" s="16">
        <v>26</v>
      </c>
      <c r="W15" s="16">
        <v>25.8</v>
      </c>
      <c r="X15" s="16">
        <v>21</v>
      </c>
      <c r="Y15" s="16">
        <v>15.4</v>
      </c>
      <c r="Z15" s="16">
        <v>9.1</v>
      </c>
      <c r="AA15" s="16">
        <v>6</v>
      </c>
    </row>
    <row r="16" spans="1:28">
      <c r="A16" s="3" t="s">
        <v>49</v>
      </c>
      <c r="B16" s="12">
        <f>-(4+46/60+44/3600)</f>
        <v>-4.778888888888889</v>
      </c>
      <c r="C16" s="12">
        <f>37+53/60+5/3600</f>
        <v>37.884722222222223</v>
      </c>
      <c r="D16">
        <f>Hoja2!D16/Hoja2!$B$105</f>
        <v>2.44</v>
      </c>
      <c r="E16">
        <f>Hoja2!E16/Hoja2!$B$105</f>
        <v>3.11</v>
      </c>
      <c r="F16">
        <f>Hoja2!F16/Hoja2!$B$105</f>
        <v>4.59</v>
      </c>
      <c r="G16">
        <f>Hoja2!G16/Hoja2!$B$105</f>
        <v>5.18</v>
      </c>
      <c r="H16">
        <f>Hoja2!H16/Hoja2!$B$105</f>
        <v>6.62</v>
      </c>
      <c r="I16">
        <f>Hoja2!I16/Hoja2!$B$105</f>
        <v>7.18</v>
      </c>
      <c r="J16">
        <f>Hoja2!J16/Hoja2!$B$105</f>
        <v>6.97</v>
      </c>
      <c r="K16">
        <f>Hoja2!K16/Hoja2!$B$105</f>
        <v>6.15</v>
      </c>
      <c r="L16">
        <f>Hoja2!L16/Hoja2!$B$105</f>
        <v>4.92</v>
      </c>
      <c r="M16">
        <f>Hoja2!M16/Hoja2!$B$105</f>
        <v>3.68</v>
      </c>
      <c r="N16">
        <f>Hoja2!N16/Hoja2!$B$105</f>
        <v>2.4300000000000002</v>
      </c>
      <c r="O16">
        <f>Hoja2!O16/Hoja2!$B$105</f>
        <v>2.0299999999999998</v>
      </c>
      <c r="P16" s="16">
        <v>8.6999999999999993</v>
      </c>
      <c r="Q16" s="16">
        <v>10.1</v>
      </c>
      <c r="R16" s="16">
        <v>13.1</v>
      </c>
      <c r="S16" s="16">
        <v>15.6</v>
      </c>
      <c r="T16" s="16">
        <v>19.7</v>
      </c>
      <c r="U16" s="16">
        <v>25.4</v>
      </c>
      <c r="V16" s="16">
        <v>28.1</v>
      </c>
      <c r="W16" s="16">
        <v>28.1</v>
      </c>
      <c r="X16" s="16">
        <v>23.8</v>
      </c>
      <c r="Y16" s="16">
        <v>18.600000000000001</v>
      </c>
      <c r="Z16" s="16">
        <v>12.7</v>
      </c>
      <c r="AA16" s="16">
        <v>9.6</v>
      </c>
    </row>
    <row r="17" spans="1:28">
      <c r="A17" s="3" t="s">
        <v>6</v>
      </c>
      <c r="B17" s="12">
        <f>-(2+8/60+2/3600)</f>
        <v>-2.1338888888888889</v>
      </c>
      <c r="C17" s="12">
        <f>40+4/60+18/3600</f>
        <v>40.071666666666673</v>
      </c>
      <c r="D17">
        <f>Hoja2!D18/Hoja2!$B$105</f>
        <v>2.17</v>
      </c>
      <c r="E17">
        <f>Hoja2!E18/Hoja2!$B$105</f>
        <v>2.89</v>
      </c>
      <c r="F17">
        <f>Hoja2!F18/Hoja2!$B$105</f>
        <v>4.47</v>
      </c>
      <c r="G17">
        <f>Hoja2!G18/Hoja2!$B$105</f>
        <v>5.29</v>
      </c>
      <c r="H17">
        <f>Hoja2!H18/Hoja2!$B$105</f>
        <v>6.55</v>
      </c>
      <c r="I17">
        <f>Hoja2!I18/Hoja2!$B$105</f>
        <v>7.08</v>
      </c>
      <c r="J17">
        <f>Hoja2!J18/Hoja2!$B$105</f>
        <v>7.14</v>
      </c>
      <c r="K17">
        <f>Hoja2!K18/Hoja2!$B$105</f>
        <v>6.3</v>
      </c>
      <c r="L17">
        <f>Hoja2!L18/Hoja2!$B$105</f>
        <v>4.99</v>
      </c>
      <c r="M17">
        <f>Hoja2!M18/Hoja2!$B$105</f>
        <v>3.51</v>
      </c>
      <c r="N17">
        <f>Hoja2!N18/Hoja2!$B$105</f>
        <v>2.29</v>
      </c>
      <c r="O17">
        <f>Hoja2!O18/Hoja2!$B$105</f>
        <v>1.85</v>
      </c>
      <c r="P17" s="16">
        <v>3.2</v>
      </c>
      <c r="Q17" s="16">
        <v>4.5</v>
      </c>
      <c r="R17" s="16">
        <v>7.6</v>
      </c>
      <c r="S17" s="16">
        <v>10.1</v>
      </c>
      <c r="T17" s="16">
        <v>14.2</v>
      </c>
      <c r="U17" s="16">
        <v>19.8</v>
      </c>
      <c r="V17" s="16">
        <v>23.1</v>
      </c>
      <c r="W17" s="16">
        <v>22.9</v>
      </c>
      <c r="X17" s="16">
        <v>18.2</v>
      </c>
      <c r="Y17" s="16">
        <v>12.9</v>
      </c>
      <c r="Z17" s="16">
        <v>7</v>
      </c>
      <c r="AA17" s="16">
        <v>4</v>
      </c>
    </row>
    <row r="18" spans="1:28">
      <c r="A18" s="3" t="s">
        <v>7</v>
      </c>
      <c r="B18" s="12">
        <f>(2+49/60+25/3600)</f>
        <v>2.8236111111111111</v>
      </c>
      <c r="C18" s="12">
        <f>41+58/60+54/3600</f>
        <v>41.981666666666669</v>
      </c>
      <c r="D18">
        <f>Hoja2!D19/Hoja2!$B$105</f>
        <v>1.87</v>
      </c>
      <c r="E18">
        <f>Hoja2!E19/Hoja2!$B$105</f>
        <v>2.54</v>
      </c>
      <c r="F18">
        <f>Hoja2!F19/Hoja2!$B$105</f>
        <v>3.92</v>
      </c>
      <c r="G18">
        <f>Hoja2!G19/Hoja2!$B$105</f>
        <v>4.87</v>
      </c>
      <c r="H18">
        <f>Hoja2!H19/Hoja2!$B$105</f>
        <v>5.8</v>
      </c>
      <c r="I18">
        <f>Hoja2!I19/Hoja2!$B$105</f>
        <v>6.59</v>
      </c>
      <c r="J18">
        <f>Hoja2!J19/Hoja2!$B$105</f>
        <v>6.8</v>
      </c>
      <c r="K18">
        <f>Hoja2!K19/Hoja2!$B$105</f>
        <v>5.82</v>
      </c>
      <c r="L18">
        <f>Hoja2!L19/Hoja2!$B$105</f>
        <v>4.4800000000000004</v>
      </c>
      <c r="M18">
        <f>Hoja2!M19/Hoja2!$B$105</f>
        <v>3.09</v>
      </c>
      <c r="N18">
        <f>Hoja2!N19/Hoja2!$B$105</f>
        <v>1.98</v>
      </c>
      <c r="O18">
        <f>Hoja2!O19/Hoja2!$B$105</f>
        <v>1.63</v>
      </c>
      <c r="P18" s="16">
        <v>7.9</v>
      </c>
      <c r="Q18" s="16">
        <v>8.3000000000000007</v>
      </c>
      <c r="R18" s="16">
        <v>11.1</v>
      </c>
      <c r="S18" s="16">
        <v>13.7</v>
      </c>
      <c r="T18" s="16">
        <v>17.2</v>
      </c>
      <c r="U18" s="16">
        <v>21.6</v>
      </c>
      <c r="V18" s="16">
        <v>24.1</v>
      </c>
      <c r="W18" s="16">
        <v>24.3</v>
      </c>
      <c r="X18" s="16">
        <v>20.5</v>
      </c>
      <c r="Y18" s="16">
        <v>17.100000000000001</v>
      </c>
      <c r="Z18" s="16">
        <v>11.9</v>
      </c>
      <c r="AA18" s="16">
        <v>8.5</v>
      </c>
    </row>
    <row r="19" spans="1:28">
      <c r="A19" s="3" t="s">
        <v>8</v>
      </c>
      <c r="B19" s="12">
        <f>-(3+35/60+52/3600)</f>
        <v>-3.597777777777778</v>
      </c>
      <c r="C19" s="12">
        <f>37+10/60+35/3600</f>
        <v>37.176388888888887</v>
      </c>
      <c r="D19">
        <f>Hoja2!D20/Hoja2!$B$105</f>
        <v>2.6</v>
      </c>
      <c r="E19">
        <f>Hoja2!E20/Hoja2!$B$105</f>
        <v>3.25</v>
      </c>
      <c r="F19">
        <f>Hoja2!F20/Hoja2!$B$105</f>
        <v>4.7300000000000004</v>
      </c>
      <c r="G19">
        <f>Hoja2!G20/Hoja2!$B$105</f>
        <v>5.46</v>
      </c>
      <c r="H19">
        <f>Hoja2!H20/Hoja2!$B$105</f>
        <v>6.75</v>
      </c>
      <c r="I19">
        <f>Hoja2!I20/Hoja2!$B$105</f>
        <v>7.26</v>
      </c>
      <c r="J19">
        <f>Hoja2!J20/Hoja2!$B$105</f>
        <v>7.18</v>
      </c>
      <c r="K19">
        <f>Hoja2!K20/Hoja2!$B$105</f>
        <v>6.27</v>
      </c>
      <c r="L19">
        <f>Hoja2!L20/Hoja2!$B$105</f>
        <v>5.05</v>
      </c>
      <c r="M19">
        <f>Hoja2!M20/Hoja2!$B$105</f>
        <v>3.9</v>
      </c>
      <c r="N19">
        <f>Hoja2!N20/Hoja2!$B$105</f>
        <v>2.56</v>
      </c>
      <c r="O19">
        <f>Hoja2!O20/Hoja2!$B$105</f>
        <v>2.2000000000000002</v>
      </c>
      <c r="P19" s="16">
        <v>6.2</v>
      </c>
      <c r="Q19" s="16">
        <v>7.4</v>
      </c>
      <c r="R19" s="16">
        <v>10.3</v>
      </c>
      <c r="S19" s="16">
        <v>12.9</v>
      </c>
      <c r="T19" s="16">
        <v>17.100000000000001</v>
      </c>
      <c r="U19" s="16">
        <v>23.2</v>
      </c>
      <c r="V19" s="16">
        <v>26.9</v>
      </c>
      <c r="W19" s="16">
        <v>26.5</v>
      </c>
      <c r="X19" s="16">
        <v>21.3</v>
      </c>
      <c r="Y19" s="16">
        <v>15.69</v>
      </c>
      <c r="Z19" s="16">
        <v>9.8000000000000007</v>
      </c>
      <c r="AA19" s="16">
        <v>7.2</v>
      </c>
    </row>
    <row r="20" spans="1:28">
      <c r="A20" s="3" t="s">
        <v>9</v>
      </c>
      <c r="B20" s="12">
        <f>-(3+9/60+57/3600)</f>
        <v>-3.1658333333333331</v>
      </c>
      <c r="C20" s="12">
        <f>40+37/60+48/3600</f>
        <v>40.630000000000003</v>
      </c>
      <c r="D20">
        <f>Hoja2!D21/Hoja2!$B$105</f>
        <v>1.99</v>
      </c>
      <c r="E20">
        <f>Hoja2!E21/Hoja2!$B$105</f>
        <v>2.72</v>
      </c>
      <c r="F20">
        <f>Hoja2!F21/Hoja2!$B$105</f>
        <v>4.42</v>
      </c>
      <c r="G20">
        <f>Hoja2!G21/Hoja2!$B$105</f>
        <v>5.15</v>
      </c>
      <c r="H20">
        <f>Hoja2!H21/Hoja2!$B$105</f>
        <v>6.52</v>
      </c>
      <c r="I20">
        <f>Hoja2!I21/Hoja2!$B$105</f>
        <v>7.18</v>
      </c>
      <c r="J20">
        <f>Hoja2!J21/Hoja2!$B$105</f>
        <v>7.27</v>
      </c>
      <c r="K20">
        <f>Hoja2!K21/Hoja2!$B$105</f>
        <v>6.34</v>
      </c>
      <c r="L20">
        <f>Hoja2!L21/Hoja2!$B$105</f>
        <v>4.93</v>
      </c>
      <c r="M20">
        <f>Hoja2!M21/Hoja2!$B$105</f>
        <v>3.36</v>
      </c>
      <c r="N20">
        <f>Hoja2!N21/Hoja2!$B$105</f>
        <v>2.15</v>
      </c>
      <c r="O20">
        <f>Hoja2!O21/Hoja2!$B$105</f>
        <v>1.64</v>
      </c>
      <c r="P20" s="16">
        <v>4</v>
      </c>
      <c r="Q20" s="16">
        <v>5.6</v>
      </c>
      <c r="R20" s="16">
        <v>8.6</v>
      </c>
      <c r="S20" s="16">
        <v>11</v>
      </c>
      <c r="T20" s="16">
        <v>15.4</v>
      </c>
      <c r="U20" s="16">
        <v>21.2</v>
      </c>
      <c r="V20" s="16">
        <v>24.4</v>
      </c>
      <c r="W20" s="16">
        <v>24</v>
      </c>
      <c r="X20" s="16">
        <v>19.7</v>
      </c>
      <c r="Y20" s="16">
        <v>14</v>
      </c>
      <c r="Z20" s="16">
        <v>7.9</v>
      </c>
      <c r="AA20" s="16">
        <v>4.5999999999999996</v>
      </c>
    </row>
    <row r="21" spans="1:28">
      <c r="A21" s="3" t="s">
        <v>10</v>
      </c>
      <c r="B21" s="12">
        <f>-(6+56/60+58/3600)</f>
        <v>-6.9494444444444445</v>
      </c>
      <c r="C21" s="12">
        <f>37+15/60+25/3600</f>
        <v>37.256944444444443</v>
      </c>
      <c r="D21">
        <f>Hoja2!D22/Hoja2!$B$105</f>
        <v>2.5099999999999998</v>
      </c>
      <c r="E21">
        <f>Hoja2!E22/Hoja2!$B$105</f>
        <v>3.09</v>
      </c>
      <c r="F21">
        <f>Hoja2!F22/Hoja2!$B$105</f>
        <v>4.59</v>
      </c>
      <c r="G21">
        <f>Hoja2!G22/Hoja2!$B$105</f>
        <v>5.39</v>
      </c>
      <c r="H21">
        <f>Hoja2!H22/Hoja2!$B$105</f>
        <v>6.84</v>
      </c>
      <c r="I21">
        <f>Hoja2!I22/Hoja2!$B$105</f>
        <v>7.24</v>
      </c>
      <c r="J21">
        <f>Hoja2!J22/Hoja2!$B$105</f>
        <v>7.27</v>
      </c>
      <c r="K21">
        <f>Hoja2!K22/Hoja2!$B$105</f>
        <v>6.57</v>
      </c>
      <c r="L21">
        <f>Hoja2!L22/Hoja2!$B$105</f>
        <v>5.24</v>
      </c>
      <c r="M21">
        <f>Hoja2!M22/Hoja2!$B$105</f>
        <v>3.98</v>
      </c>
      <c r="N21">
        <f>Hoja2!N22/Hoja2!$B$105</f>
        <v>2.5499999999999998</v>
      </c>
      <c r="O21">
        <f>Hoja2!O22/Hoja2!$B$105</f>
        <v>2.12</v>
      </c>
      <c r="P21" s="16">
        <v>10.6</v>
      </c>
      <c r="Q21" s="16">
        <v>11.7</v>
      </c>
      <c r="R21" s="16">
        <v>14.1</v>
      </c>
      <c r="S21" s="16">
        <v>15.8</v>
      </c>
      <c r="T21" s="16">
        <v>19.100000000000001</v>
      </c>
      <c r="U21" s="16">
        <v>2.7</v>
      </c>
      <c r="V21" s="16">
        <v>25.4</v>
      </c>
      <c r="W21" s="16">
        <v>26.1</v>
      </c>
      <c r="X21" s="16">
        <v>22.7</v>
      </c>
      <c r="Y21" s="16">
        <v>19.100000000000001</v>
      </c>
      <c r="Z21" s="16">
        <v>14.3</v>
      </c>
      <c r="AA21" s="16">
        <v>11.6</v>
      </c>
    </row>
    <row r="22" spans="1:28">
      <c r="A22" s="3" t="s">
        <v>11</v>
      </c>
      <c r="B22" s="12">
        <f>-(0+24/60+32/3600)</f>
        <v>-0.40888888888888891</v>
      </c>
      <c r="C22" s="12">
        <f>42+8/60+24/3600</f>
        <v>42.14</v>
      </c>
      <c r="D22">
        <f>Hoja2!D23/Hoja2!$B$105</f>
        <v>1.72</v>
      </c>
      <c r="E22">
        <f>Hoja2!E23/Hoja2!$B$105</f>
        <v>2.4700000000000002</v>
      </c>
      <c r="F22">
        <f>Hoja2!F23/Hoja2!$B$105</f>
        <v>3.84</v>
      </c>
      <c r="G22">
        <f>Hoja2!G23/Hoja2!$B$105</f>
        <v>4.68</v>
      </c>
      <c r="H22">
        <f>Hoja2!H23/Hoja2!$B$105</f>
        <v>5.62</v>
      </c>
      <c r="I22">
        <f>Hoja2!I23/Hoja2!$B$105</f>
        <v>6.31</v>
      </c>
      <c r="J22">
        <f>Hoja2!J23/Hoja2!$B$105</f>
        <v>6.34</v>
      </c>
      <c r="K22">
        <f>Hoja2!K23/Hoja2!$B$105</f>
        <v>5.58</v>
      </c>
      <c r="L22">
        <f>Hoja2!L23/Hoja2!$B$105</f>
        <v>4.58</v>
      </c>
      <c r="M22">
        <f>Hoja2!M23/Hoja2!$B$105</f>
        <v>3.04</v>
      </c>
      <c r="N22">
        <f>Hoja2!N23/Hoja2!$B$105</f>
        <v>1.97</v>
      </c>
      <c r="O22">
        <f>Hoja2!O23/Hoja2!$B$105</f>
        <v>1.53</v>
      </c>
      <c r="P22" s="16">
        <v>5.5</v>
      </c>
      <c r="Q22" s="16">
        <v>6.5</v>
      </c>
      <c r="R22" s="16">
        <v>9.5</v>
      </c>
      <c r="S22" s="16">
        <v>12</v>
      </c>
      <c r="T22" s="16">
        <v>16.5</v>
      </c>
      <c r="U22" s="16">
        <v>21.5</v>
      </c>
      <c r="V22" s="16">
        <v>23.8</v>
      </c>
      <c r="W22" s="16">
        <v>23.5</v>
      </c>
      <c r="X22" s="16">
        <v>19.3</v>
      </c>
      <c r="Y22" s="16">
        <v>15.1</v>
      </c>
      <c r="Z22" s="16">
        <v>9.1999999999999993</v>
      </c>
      <c r="AA22" s="16">
        <v>6</v>
      </c>
    </row>
    <row r="23" spans="1:28">
      <c r="A23" s="3" t="s">
        <v>50</v>
      </c>
      <c r="B23" s="12">
        <f>-(3+47/60+22/3600)</f>
        <v>-3.7894444444444444</v>
      </c>
      <c r="C23" s="12">
        <f>37+45/60+56/3600</f>
        <v>37.765555555555558</v>
      </c>
      <c r="D23">
        <f>Hoja2!D24/Hoja2!$B$105</f>
        <v>2.4700000000000002</v>
      </c>
      <c r="E23">
        <f>Hoja2!E24/Hoja2!$B$105</f>
        <v>3.18</v>
      </c>
      <c r="F23">
        <f>Hoja2!F24/Hoja2!$B$105</f>
        <v>4.72</v>
      </c>
      <c r="G23">
        <f>Hoja2!G24/Hoja2!$B$105</f>
        <v>5.34</v>
      </c>
      <c r="H23">
        <f>Hoja2!H24/Hoja2!$B$105</f>
        <v>6.62</v>
      </c>
      <c r="I23">
        <f>Hoja2!I24/Hoja2!$B$105</f>
        <v>7.18</v>
      </c>
      <c r="J23">
        <f>Hoja2!J24/Hoja2!$B$105</f>
        <v>7.04</v>
      </c>
      <c r="K23">
        <f>Hoja2!K24/Hoja2!$B$105</f>
        <v>6.22</v>
      </c>
      <c r="L23">
        <f>Hoja2!L24/Hoja2!$B$105</f>
        <v>4.9800000000000004</v>
      </c>
      <c r="M23">
        <f>Hoja2!M24/Hoja2!$B$105</f>
        <v>3.77</v>
      </c>
      <c r="N23">
        <f>Hoja2!N24/Hoja2!$B$105</f>
        <v>2.5</v>
      </c>
      <c r="O23">
        <f>Hoja2!O24/Hoja2!$B$105</f>
        <v>2.1</v>
      </c>
      <c r="P23" s="16">
        <v>7.3</v>
      </c>
      <c r="Q23" s="16">
        <v>8.6999999999999993</v>
      </c>
      <c r="R23" s="16">
        <v>11.7</v>
      </c>
      <c r="S23" s="16">
        <v>14.1</v>
      </c>
      <c r="T23" s="16">
        <v>18.100000000000001</v>
      </c>
      <c r="U23" s="16">
        <v>23.7</v>
      </c>
      <c r="V23" s="16">
        <v>26.8</v>
      </c>
      <c r="W23" s="16">
        <v>26.7</v>
      </c>
      <c r="X23" s="16">
        <v>22</v>
      </c>
      <c r="Y23" s="16">
        <v>16.7</v>
      </c>
      <c r="Z23" s="16">
        <v>10.8</v>
      </c>
      <c r="AA23" s="16">
        <v>8</v>
      </c>
    </row>
    <row r="24" spans="1:28">
      <c r="A24" s="20" t="s">
        <v>51</v>
      </c>
      <c r="B24" s="12">
        <f>-(8+23/60+45/3600)</f>
        <v>-8.3958333333333321</v>
      </c>
      <c r="C24" s="12">
        <f>43+22/60+15/3600</f>
        <v>43.370833333333337</v>
      </c>
      <c r="D24">
        <f>Hoja2!D17/Hoja2!$B$105</f>
        <v>1.43</v>
      </c>
      <c r="E24">
        <f>Hoja2!E17/Hoja2!$B$105</f>
        <v>2.06</v>
      </c>
      <c r="F24">
        <f>Hoja2!F17/Hoja2!$B$105</f>
        <v>3.58</v>
      </c>
      <c r="G24">
        <f>Hoja2!G17/Hoja2!$B$105</f>
        <v>4.08</v>
      </c>
      <c r="H24">
        <f>Hoja2!H17/Hoja2!$B$105</f>
        <v>4.87</v>
      </c>
      <c r="I24">
        <f>Hoja2!I17/Hoja2!$B$105</f>
        <v>5.62</v>
      </c>
      <c r="J24">
        <f>Hoja2!J17/Hoja2!$B$105</f>
        <v>5.32</v>
      </c>
      <c r="K24">
        <f>Hoja2!K17/Hoja2!$B$105</f>
        <v>4.96</v>
      </c>
      <c r="L24">
        <f>Hoja2!L17/Hoja2!$B$105</f>
        <v>3.75</v>
      </c>
      <c r="M24">
        <f>Hoja2!M17/Hoja2!$B$105</f>
        <v>2.6</v>
      </c>
      <c r="N24">
        <f>Hoja2!N17/Hoja2!$B$105</f>
        <v>1.67</v>
      </c>
      <c r="O24">
        <f>Hoja2!O17/Hoja2!$B$105</f>
        <v>1.1100000000000001</v>
      </c>
      <c r="P24" s="16">
        <v>9.3000000000000007</v>
      </c>
      <c r="Q24" s="16">
        <v>9.1</v>
      </c>
      <c r="R24" s="16">
        <v>11</v>
      </c>
      <c r="S24" s="16">
        <v>12.2</v>
      </c>
      <c r="T24" s="16">
        <v>14.2</v>
      </c>
      <c r="U24" s="16">
        <v>16.7</v>
      </c>
      <c r="V24" s="16">
        <v>18.5</v>
      </c>
      <c r="W24" s="16">
        <v>19</v>
      </c>
      <c r="X24" s="16">
        <v>18.3</v>
      </c>
      <c r="Y24" s="16">
        <v>15.3</v>
      </c>
      <c r="Z24" s="16">
        <v>11.6</v>
      </c>
      <c r="AA24" s="16">
        <v>9.6999999999999993</v>
      </c>
    </row>
    <row r="25" spans="1:28">
      <c r="A25" s="3" t="s">
        <v>210</v>
      </c>
      <c r="B25" s="18">
        <f>-(15+25/60+48/3600)</f>
        <v>-15.43</v>
      </c>
      <c r="C25" s="18">
        <f>28+7/60+29/3600</f>
        <v>28.124722222222221</v>
      </c>
      <c r="D25" s="17">
        <v>3.57</v>
      </c>
      <c r="E25" s="17">
        <v>4.41</v>
      </c>
      <c r="F25" s="17">
        <v>5.58</v>
      </c>
      <c r="G25" s="17">
        <v>6.44</v>
      </c>
      <c r="H25" s="17">
        <v>6.98</v>
      </c>
      <c r="I25" s="17">
        <v>6.83</v>
      </c>
      <c r="J25" s="17">
        <v>6.5</v>
      </c>
      <c r="K25" s="17">
        <v>6.54</v>
      </c>
      <c r="L25" s="17">
        <v>6</v>
      </c>
      <c r="M25" s="17">
        <v>4.92</v>
      </c>
      <c r="N25" s="17">
        <v>3.74</v>
      </c>
      <c r="O25" s="17">
        <v>3.28</v>
      </c>
      <c r="P25" s="17">
        <v>17.600000000000001</v>
      </c>
      <c r="Q25" s="17">
        <v>17.100000000000001</v>
      </c>
      <c r="R25" s="17">
        <v>17.3</v>
      </c>
      <c r="S25" s="17">
        <v>17.600000000000001</v>
      </c>
      <c r="T25" s="17">
        <v>18.5</v>
      </c>
      <c r="U25" s="17">
        <v>19.899999999999999</v>
      </c>
      <c r="V25" s="17">
        <v>21.2</v>
      </c>
      <c r="W25" s="17">
        <v>22</v>
      </c>
      <c r="X25" s="17">
        <v>22.2</v>
      </c>
      <c r="Y25" s="17">
        <v>21.6</v>
      </c>
      <c r="Z25" s="17">
        <v>20.399999999999999</v>
      </c>
      <c r="AA25" s="17">
        <v>19</v>
      </c>
      <c r="AB25" s="17" t="s">
        <v>305</v>
      </c>
    </row>
    <row r="26" spans="1:28">
      <c r="A26" s="3" t="s">
        <v>52</v>
      </c>
      <c r="B26" s="12">
        <f>-(5+34/60+18/3600)</f>
        <v>-5.5716666666666663</v>
      </c>
      <c r="C26" s="12">
        <f>42+35/60+59/3600</f>
        <v>42.599722222222226</v>
      </c>
      <c r="D26">
        <f>Hoja2!D26/Hoja2!$B$105</f>
        <v>1.68</v>
      </c>
      <c r="E26">
        <f>Hoja2!E26/Hoja2!$B$105</f>
        <v>2.41</v>
      </c>
      <c r="F26">
        <f>Hoja2!F26/Hoja2!$B$105</f>
        <v>3.9</v>
      </c>
      <c r="G26">
        <f>Hoja2!G26/Hoja2!$B$105</f>
        <v>4.6100000000000003</v>
      </c>
      <c r="H26">
        <f>Hoja2!H26/Hoja2!$B$105</f>
        <v>5.53</v>
      </c>
      <c r="I26">
        <f>Hoja2!I26/Hoja2!$B$105</f>
        <v>6.26</v>
      </c>
      <c r="J26">
        <f>Hoja2!J26/Hoja2!$B$105</f>
        <v>6.28</v>
      </c>
      <c r="K26">
        <f>Hoja2!K26/Hoja2!$B$105</f>
        <v>5.63</v>
      </c>
      <c r="L26">
        <f>Hoja2!L26/Hoja2!$B$105</f>
        <v>4.38</v>
      </c>
      <c r="M26">
        <f>Hoja2!M26/Hoja2!$B$105</f>
        <v>2.92</v>
      </c>
      <c r="N26">
        <f>Hoja2!N26/Hoja2!$B$105</f>
        <v>1.83</v>
      </c>
      <c r="O26">
        <f>Hoja2!O26/Hoja2!$B$105</f>
        <v>1.32</v>
      </c>
      <c r="P26" s="16">
        <v>3.1</v>
      </c>
      <c r="Q26" s="16">
        <v>4</v>
      </c>
      <c r="R26" s="16">
        <v>6.7</v>
      </c>
      <c r="S26" s="16">
        <v>8.6999999999999993</v>
      </c>
      <c r="T26" s="16">
        <v>12.7</v>
      </c>
      <c r="U26" s="16">
        <v>17.399999999999999</v>
      </c>
      <c r="V26" s="16">
        <v>19.5</v>
      </c>
      <c r="W26" s="16">
        <v>19.600000000000001</v>
      </c>
      <c r="X26" s="16">
        <v>16.399999999999999</v>
      </c>
      <c r="Y26" s="16">
        <v>11.4</v>
      </c>
      <c r="Z26" s="16">
        <v>6.2</v>
      </c>
      <c r="AA26" s="16">
        <v>3.5</v>
      </c>
    </row>
    <row r="27" spans="1:28">
      <c r="A27" s="3" t="s">
        <v>53</v>
      </c>
      <c r="B27" s="12">
        <f>(0+37/60+32/3600)</f>
        <v>0.62555555555555553</v>
      </c>
      <c r="C27" s="12">
        <f>41+36/60+50/3600</f>
        <v>41.613888888888887</v>
      </c>
      <c r="D27">
        <f>Hoja2!D27/Hoja2!$B$105</f>
        <v>1.82</v>
      </c>
      <c r="E27">
        <f>Hoja2!E27/Hoja2!$B$105</f>
        <v>2.5499999999999998</v>
      </c>
      <c r="F27">
        <f>Hoja2!F27/Hoja2!$B$105</f>
        <v>3.89</v>
      </c>
      <c r="G27">
        <f>Hoja2!G27/Hoja2!$B$105</f>
        <v>4.8</v>
      </c>
      <c r="H27">
        <f>Hoja2!H27/Hoja2!$B$105</f>
        <v>5.73</v>
      </c>
      <c r="I27">
        <f>Hoja2!I27/Hoja2!$B$105</f>
        <v>6.32</v>
      </c>
      <c r="J27">
        <f>Hoja2!J27/Hoja2!$B$105</f>
        <v>6.38</v>
      </c>
      <c r="K27">
        <f>Hoja2!K27/Hoja2!$B$105</f>
        <v>5.61</v>
      </c>
      <c r="L27">
        <f>Hoja2!L27/Hoja2!$B$105</f>
        <v>4.5199999999999996</v>
      </c>
      <c r="M27">
        <f>Hoja2!M27/Hoja2!$B$105</f>
        <v>3.09</v>
      </c>
      <c r="N27">
        <f>Hoja2!N27/Hoja2!$B$105</f>
        <v>2.02</v>
      </c>
      <c r="O27">
        <f>Hoja2!O27/Hoja2!$B$105</f>
        <v>1.59</v>
      </c>
      <c r="P27" s="16">
        <v>7.2</v>
      </c>
      <c r="Q27" s="16">
        <v>8.1</v>
      </c>
      <c r="R27" s="16">
        <v>11.4</v>
      </c>
      <c r="S27" s="16">
        <v>14</v>
      </c>
      <c r="T27" s="16">
        <v>18.100000000000001</v>
      </c>
      <c r="U27" s="16">
        <v>22.5</v>
      </c>
      <c r="V27" s="16">
        <v>24.9</v>
      </c>
      <c r="W27" s="16">
        <v>25.1</v>
      </c>
      <c r="X27" s="16">
        <v>20.9</v>
      </c>
      <c r="Y27" s="16">
        <v>17</v>
      </c>
      <c r="Z27" s="16">
        <v>11.2</v>
      </c>
      <c r="AA27" s="16">
        <v>7.6</v>
      </c>
    </row>
    <row r="28" spans="1:28">
      <c r="A28" s="3" t="s">
        <v>211</v>
      </c>
      <c r="B28" s="12">
        <f>-(2+26/60+59/3600)</f>
        <v>-2.4497222222222224</v>
      </c>
      <c r="C28" s="12">
        <f>42+27/60+56/3600</f>
        <v>42.465555555555561</v>
      </c>
      <c r="D28">
        <f>Hoja2!D28/Hoja2!$B$105</f>
        <v>1.65</v>
      </c>
      <c r="E28">
        <f>Hoja2!E28/Hoja2!$B$105</f>
        <v>2.4</v>
      </c>
      <c r="F28">
        <f>Hoja2!F28/Hoja2!$B$105</f>
        <v>3.86</v>
      </c>
      <c r="G28">
        <f>Hoja2!G28/Hoja2!$B$105</f>
        <v>4.66</v>
      </c>
      <c r="H28">
        <f>Hoja2!H28/Hoja2!$B$105</f>
        <v>5.77</v>
      </c>
      <c r="I28">
        <f>Hoja2!I28/Hoja2!$B$105</f>
        <v>6.4</v>
      </c>
      <c r="J28">
        <f>Hoja2!J28/Hoja2!$B$105</f>
        <v>6.41</v>
      </c>
      <c r="K28">
        <f>Hoja2!K28/Hoja2!$B$105</f>
        <v>5.66</v>
      </c>
      <c r="L28">
        <f>Hoja2!L28/Hoja2!$B$105</f>
        <v>4.47</v>
      </c>
      <c r="M28">
        <f>Hoja2!M28/Hoja2!$B$105</f>
        <v>2.97</v>
      </c>
      <c r="N28">
        <f>Hoja2!N28/Hoja2!$B$105</f>
        <v>1.84</v>
      </c>
      <c r="O28">
        <f>Hoja2!O28/Hoja2!$B$105</f>
        <v>1.39</v>
      </c>
      <c r="P28" s="16">
        <v>5.9</v>
      </c>
      <c r="Q28" s="16">
        <v>6.5</v>
      </c>
      <c r="R28" s="16">
        <v>9.3000000000000007</v>
      </c>
      <c r="S28" s="16">
        <v>11.4</v>
      </c>
      <c r="T28" s="16">
        <v>15.3</v>
      </c>
      <c r="U28" s="16">
        <v>19.399999999999999</v>
      </c>
      <c r="V28" s="16">
        <v>21.4</v>
      </c>
      <c r="W28" s="16">
        <v>21.8</v>
      </c>
      <c r="X28" s="16">
        <v>18.600000000000001</v>
      </c>
      <c r="Y28" s="16">
        <v>15</v>
      </c>
      <c r="Z28" s="16">
        <v>9.1</v>
      </c>
      <c r="AA28" s="16">
        <v>6</v>
      </c>
    </row>
    <row r="29" spans="1:28">
      <c r="A29" s="3" t="s">
        <v>12</v>
      </c>
      <c r="B29" s="12">
        <f>-(7+33/60+21/3600)</f>
        <v>-7.5558333333333332</v>
      </c>
      <c r="C29" s="12">
        <f>43+0/60+43/3600</f>
        <v>43.011944444444445</v>
      </c>
      <c r="D29">
        <f>Hoja2!D29/Hoja2!$B$105</f>
        <v>1.56</v>
      </c>
      <c r="E29">
        <f>Hoja2!E29/Hoja2!$B$105</f>
        <v>2.2000000000000002</v>
      </c>
      <c r="F29">
        <f>Hoja2!F29/Hoja2!$B$105</f>
        <v>3.68</v>
      </c>
      <c r="G29">
        <f>Hoja2!G29/Hoja2!$B$105</f>
        <v>4.22</v>
      </c>
      <c r="H29">
        <f>Hoja2!H29/Hoja2!$B$105</f>
        <v>5.04</v>
      </c>
      <c r="I29">
        <f>Hoja2!I29/Hoja2!$B$105</f>
        <v>5.78</v>
      </c>
      <c r="J29">
        <f>Hoja2!J29/Hoja2!$B$105</f>
        <v>5.6</v>
      </c>
      <c r="K29">
        <f>Hoja2!K29/Hoja2!$B$105</f>
        <v>5.19</v>
      </c>
      <c r="L29">
        <f>Hoja2!L29/Hoja2!$B$105</f>
        <v>3.99</v>
      </c>
      <c r="M29">
        <f>Hoja2!M29/Hoja2!$B$105</f>
        <v>2.74</v>
      </c>
      <c r="N29">
        <f>Hoja2!N29/Hoja2!$B$105</f>
        <v>1.75</v>
      </c>
      <c r="O29">
        <f>Hoja2!O29/Hoja2!$B$105</f>
        <v>1.24</v>
      </c>
      <c r="P29" s="16">
        <v>6.2</v>
      </c>
      <c r="Q29" s="16">
        <v>6.4</v>
      </c>
      <c r="R29" s="16">
        <v>8.8000000000000007</v>
      </c>
      <c r="S29" s="16">
        <v>10</v>
      </c>
      <c r="T29" s="16">
        <v>12.7</v>
      </c>
      <c r="U29" s="16">
        <v>16.5</v>
      </c>
      <c r="V29" s="16">
        <v>17.600000000000001</v>
      </c>
      <c r="W29" s="16">
        <v>18.3</v>
      </c>
      <c r="X29" s="16">
        <v>16.8</v>
      </c>
      <c r="Y29" s="16">
        <v>13.4</v>
      </c>
      <c r="Z29" s="16">
        <v>8.6999999999999993</v>
      </c>
      <c r="AA29" s="16">
        <v>6.4</v>
      </c>
    </row>
    <row r="30" spans="1:28">
      <c r="A30" s="3" t="s">
        <v>13</v>
      </c>
      <c r="B30" s="12">
        <f>-(3+42/60+1/3600)</f>
        <v>-3.700277777777778</v>
      </c>
      <c r="C30" s="12">
        <f>40+25/60+0/3600</f>
        <v>40.416666666666664</v>
      </c>
      <c r="D30">
        <f>Hoja2!D30/Hoja2!$B$105</f>
        <v>2</v>
      </c>
      <c r="E30">
        <f>Hoja2!E30/Hoja2!$B$105</f>
        <v>2.73</v>
      </c>
      <c r="F30">
        <f>Hoja2!F30/Hoja2!$B$105</f>
        <v>4.4800000000000004</v>
      </c>
      <c r="G30">
        <f>Hoja2!G30/Hoja2!$B$105</f>
        <v>5.17</v>
      </c>
      <c r="H30">
        <f>Hoja2!H30/Hoja2!$B$105</f>
        <v>6.58</v>
      </c>
      <c r="I30">
        <f>Hoja2!I30/Hoja2!$B$105</f>
        <v>7.24</v>
      </c>
      <c r="J30">
        <f>Hoja2!J30/Hoja2!$B$105</f>
        <v>7.32</v>
      </c>
      <c r="K30">
        <f>Hoja2!K30/Hoja2!$B$105</f>
        <v>6.41</v>
      </c>
      <c r="L30">
        <f>Hoja2!L30/Hoja2!$B$105</f>
        <v>4.97</v>
      </c>
      <c r="M30">
        <f>Hoja2!M30/Hoja2!$B$105</f>
        <v>3.36</v>
      </c>
      <c r="N30">
        <f>Hoja2!N30/Hoja2!$B$105</f>
        <v>2.15</v>
      </c>
      <c r="O30">
        <f>Hoja2!O30/Hoja2!$B$105</f>
        <v>1.64</v>
      </c>
      <c r="P30" s="16">
        <v>4.0999999999999996</v>
      </c>
      <c r="Q30" s="16">
        <v>5.5</v>
      </c>
      <c r="R30" s="16">
        <v>9.1</v>
      </c>
      <c r="S30" s="16">
        <v>11.6</v>
      </c>
      <c r="T30" s="16">
        <v>16.3</v>
      </c>
      <c r="U30" s="16">
        <v>22.5</v>
      </c>
      <c r="V30" s="16">
        <v>25.3</v>
      </c>
      <c r="W30" s="16">
        <v>24.8</v>
      </c>
      <c r="X30" s="16">
        <v>20.399999999999999</v>
      </c>
      <c r="Y30" s="16">
        <v>14.1</v>
      </c>
      <c r="Z30" s="16">
        <v>8.1999999999999993</v>
      </c>
      <c r="AA30" s="16">
        <v>4.7</v>
      </c>
    </row>
    <row r="31" spans="1:28">
      <c r="A31" s="3" t="s">
        <v>54</v>
      </c>
      <c r="B31" s="12">
        <f>-(4+25/60+12/3600)</f>
        <v>-4.42</v>
      </c>
      <c r="C31" s="12">
        <f>36+43/60+10/3600</f>
        <v>36.719444444444449</v>
      </c>
      <c r="D31">
        <f>Hoja2!D31/Hoja2!$B$105</f>
        <v>2.4900000000000002</v>
      </c>
      <c r="E31">
        <f>Hoja2!E31/Hoja2!$B$105</f>
        <v>3.13</v>
      </c>
      <c r="F31">
        <f>Hoja2!F31/Hoja2!$B$105</f>
        <v>4.4000000000000004</v>
      </c>
      <c r="G31">
        <f>Hoja2!G31/Hoja2!$B$105</f>
        <v>5.17</v>
      </c>
      <c r="H31">
        <f>Hoja2!H31/Hoja2!$B$105</f>
        <v>6.46</v>
      </c>
      <c r="I31">
        <f>Hoja2!I31/Hoja2!$B$105</f>
        <v>7.11</v>
      </c>
      <c r="J31">
        <f>Hoja2!J31/Hoja2!$B$105</f>
        <v>6.88</v>
      </c>
      <c r="K31">
        <f>Hoja2!K31/Hoja2!$B$105</f>
        <v>6.04</v>
      </c>
      <c r="L31">
        <f>Hoja2!L31/Hoja2!$B$105</f>
        <v>4.84</v>
      </c>
      <c r="M31">
        <f>Hoja2!M31/Hoja2!$B$105</f>
        <v>3.79</v>
      </c>
      <c r="N31">
        <f>Hoja2!N31/Hoja2!$B$105</f>
        <v>2.4300000000000002</v>
      </c>
      <c r="O31">
        <f>Hoja2!O31/Hoja2!$B$105</f>
        <v>2.0699999999999998</v>
      </c>
      <c r="P31" s="16">
        <v>12.5</v>
      </c>
      <c r="Q31" s="16">
        <v>13.3</v>
      </c>
      <c r="R31" s="16">
        <v>14.5</v>
      </c>
      <c r="S31" s="16">
        <v>15.6</v>
      </c>
      <c r="T31" s="16">
        <v>17.899999999999999</v>
      </c>
      <c r="U31" s="16">
        <v>20.9</v>
      </c>
      <c r="V31" s="16">
        <v>23.7</v>
      </c>
      <c r="W31" s="16">
        <v>24.2</v>
      </c>
      <c r="X31" s="16">
        <v>22.1</v>
      </c>
      <c r="Y31" s="16">
        <v>19.100000000000001</v>
      </c>
      <c r="Z31" s="16">
        <v>15.5</v>
      </c>
      <c r="AA31" s="16">
        <v>13.4</v>
      </c>
    </row>
    <row r="32" spans="1:28">
      <c r="A32" s="3" t="s">
        <v>14</v>
      </c>
      <c r="B32" s="12">
        <f>-(2+56/60+19/3600)</f>
        <v>-2.9386111111111113</v>
      </c>
      <c r="C32" s="12">
        <f>35+17/60+32/3600</f>
        <v>35.292222222222222</v>
      </c>
      <c r="D32">
        <f>Hoja2!D32/Hoja2!$B$105</f>
        <v>2.61</v>
      </c>
      <c r="E32">
        <f>Hoja2!E32/Hoja2!$B$105</f>
        <v>3.34</v>
      </c>
      <c r="F32">
        <f>Hoja2!F32/Hoja2!$B$105</f>
        <v>4.53</v>
      </c>
      <c r="G32">
        <f>Hoja2!G32/Hoja2!$B$105</f>
        <v>5.37</v>
      </c>
      <c r="H32">
        <f>Hoja2!H32/Hoja2!$B$105</f>
        <v>6.53</v>
      </c>
      <c r="I32">
        <f>Hoja2!I32/Hoja2!$B$105</f>
        <v>7.01</v>
      </c>
      <c r="J32">
        <f>Hoja2!J32/Hoja2!$B$105</f>
        <v>6.89</v>
      </c>
      <c r="K32">
        <f>Hoja2!K32/Hoja2!$B$105</f>
        <v>6.05</v>
      </c>
      <c r="L32">
        <f>Hoja2!L32/Hoja2!$B$105</f>
        <v>4.93</v>
      </c>
      <c r="M32">
        <f>Hoja2!M32/Hoja2!$B$105</f>
        <v>3.92</v>
      </c>
      <c r="N32">
        <f>Hoja2!N32/Hoja2!$B$105</f>
        <v>2.68</v>
      </c>
      <c r="O32">
        <f>Hoja2!O32/Hoja2!$B$105</f>
        <v>2.37</v>
      </c>
      <c r="P32" s="16">
        <v>13.3</v>
      </c>
      <c r="Q32" s="16">
        <v>13.6</v>
      </c>
      <c r="R32" s="16">
        <v>14.7</v>
      </c>
      <c r="S32" s="16">
        <v>15.9</v>
      </c>
      <c r="T32" s="16">
        <v>18</v>
      </c>
      <c r="U32" s="16">
        <v>21.1</v>
      </c>
      <c r="V32" s="16">
        <v>23.2</v>
      </c>
      <c r="W32" s="16">
        <v>24.2</v>
      </c>
      <c r="X32" s="16">
        <v>22.5</v>
      </c>
      <c r="Y32" s="16">
        <v>20.100000000000001</v>
      </c>
      <c r="Z32" s="16">
        <v>16.7</v>
      </c>
      <c r="AA32" s="16">
        <v>14.5</v>
      </c>
    </row>
    <row r="33" spans="1:27">
      <c r="A33" s="3" t="s">
        <v>15</v>
      </c>
      <c r="B33" s="12">
        <f>-(1+7/60+47/3600)</f>
        <v>-1.1297222222222223</v>
      </c>
      <c r="C33" s="12">
        <f>37+59/60+0/3600</f>
        <v>37.983333333333334</v>
      </c>
      <c r="D33">
        <f>Hoja2!D33/Hoja2!$B$105</f>
        <v>2.44</v>
      </c>
      <c r="E33">
        <f>Hoja2!E33/Hoja2!$B$105</f>
        <v>3.21</v>
      </c>
      <c r="F33">
        <f>Hoja2!F33/Hoja2!$B$105</f>
        <v>4.55</v>
      </c>
      <c r="G33">
        <f>Hoja2!G33/Hoja2!$B$105</f>
        <v>5.41</v>
      </c>
      <c r="H33">
        <f>Hoja2!H33/Hoja2!$B$105</f>
        <v>6.48</v>
      </c>
      <c r="I33">
        <f>Hoja2!I33/Hoja2!$B$105</f>
        <v>7</v>
      </c>
      <c r="J33">
        <f>Hoja2!J33/Hoja2!$B$105</f>
        <v>7.05</v>
      </c>
      <c r="K33">
        <f>Hoja2!K33/Hoja2!$B$105</f>
        <v>6.15</v>
      </c>
      <c r="L33">
        <f>Hoja2!L33/Hoja2!$B$105</f>
        <v>5</v>
      </c>
      <c r="M33">
        <f>Hoja2!M33/Hoja2!$B$105</f>
        <v>3.75</v>
      </c>
      <c r="N33">
        <f>Hoja2!N33/Hoja2!$B$105</f>
        <v>2.4700000000000002</v>
      </c>
      <c r="O33">
        <f>Hoja2!O33/Hoja2!$B$105</f>
        <v>2.16</v>
      </c>
      <c r="P33" s="16">
        <v>10.5</v>
      </c>
      <c r="Q33" s="16">
        <v>11.1</v>
      </c>
      <c r="R33" s="16">
        <v>13.3</v>
      </c>
      <c r="S33" s="16">
        <v>15.7</v>
      </c>
      <c r="T33" s="16">
        <v>19.100000000000001</v>
      </c>
      <c r="U33" s="16">
        <v>23.3</v>
      </c>
      <c r="V33" s="16">
        <v>25.7</v>
      </c>
      <c r="W33" s="16">
        <v>25.8</v>
      </c>
      <c r="X33" s="16">
        <v>22.9</v>
      </c>
      <c r="Y33" s="16">
        <v>19.5</v>
      </c>
      <c r="Z33" s="16">
        <v>14.5</v>
      </c>
      <c r="AA33" s="16">
        <v>11.2</v>
      </c>
    </row>
    <row r="34" spans="1:27">
      <c r="A34" s="3" t="s">
        <v>370</v>
      </c>
      <c r="B34" s="12">
        <f>-(7+51/60+52/3600)</f>
        <v>-7.8644444444444437</v>
      </c>
      <c r="C34" s="12">
        <f>42+20/60+23/3600</f>
        <v>42.339722222222221</v>
      </c>
      <c r="D34">
        <f>Hoja2!D34/Hoja2!$B$105</f>
        <v>1.69</v>
      </c>
      <c r="E34">
        <f>Hoja2!E34/Hoja2!$B$105</f>
        <v>2.33</v>
      </c>
      <c r="F34">
        <f>Hoja2!F34/Hoja2!$B$105</f>
        <v>3.86</v>
      </c>
      <c r="G34">
        <f>Hoja2!G34/Hoja2!$B$105</f>
        <v>4.46</v>
      </c>
      <c r="H34">
        <f>Hoja2!H34/Hoja2!$B$105</f>
        <v>5.37</v>
      </c>
      <c r="I34">
        <f>Hoja2!I34/Hoja2!$B$105</f>
        <v>6.22</v>
      </c>
      <c r="J34">
        <f>Hoja2!J34/Hoja2!$B$105</f>
        <v>6</v>
      </c>
      <c r="K34">
        <f>Hoja2!K34/Hoja2!$B$105</f>
        <v>5.56</v>
      </c>
      <c r="L34">
        <f>Hoja2!L34/Hoja2!$B$105</f>
        <v>4.28</v>
      </c>
      <c r="M34">
        <f>Hoja2!M34/Hoja2!$B$105</f>
        <v>2.91</v>
      </c>
      <c r="N34">
        <f>Hoja2!N34/Hoja2!$B$105</f>
        <v>1.83</v>
      </c>
      <c r="O34">
        <f>Hoja2!O34/Hoja2!$B$105</f>
        <v>1.29</v>
      </c>
      <c r="P34" s="16">
        <v>7</v>
      </c>
      <c r="Q34" s="16">
        <v>8.5</v>
      </c>
      <c r="R34" s="16">
        <v>11.8</v>
      </c>
      <c r="S34" s="16">
        <v>13.8</v>
      </c>
      <c r="T34" s="16">
        <v>17.399999999999999</v>
      </c>
      <c r="U34" s="16">
        <v>22.2</v>
      </c>
      <c r="V34" s="16">
        <v>23.8</v>
      </c>
      <c r="W34" s="16">
        <v>24.3</v>
      </c>
      <c r="X34" s="16">
        <v>21.3</v>
      </c>
      <c r="Y34" s="16">
        <v>16.5</v>
      </c>
      <c r="Z34" s="16">
        <v>10.8</v>
      </c>
      <c r="AA34" s="16">
        <v>7.7</v>
      </c>
    </row>
    <row r="35" spans="1:27">
      <c r="A35" s="3" t="s">
        <v>212</v>
      </c>
      <c r="B35" s="12">
        <f>-(5+50/60+41/3600)</f>
        <v>-5.8447222222222219</v>
      </c>
      <c r="C35" s="12">
        <f>43+21/60+37/3600</f>
        <v>43.360277777777782</v>
      </c>
      <c r="D35">
        <f>Hoja2!D35/Hoja2!$B$105</f>
        <v>1.51</v>
      </c>
      <c r="E35">
        <f>Hoja2!E35/Hoja2!$B$105</f>
        <v>2.09</v>
      </c>
      <c r="F35">
        <f>Hoja2!F35/Hoja2!$B$105</f>
        <v>3.44</v>
      </c>
      <c r="G35">
        <f>Hoja2!G35/Hoja2!$B$105</f>
        <v>4.07</v>
      </c>
      <c r="H35">
        <f>Hoja2!H35/Hoja2!$B$105</f>
        <v>4.8499999999999996</v>
      </c>
      <c r="I35">
        <f>Hoja2!I35/Hoja2!$B$105</f>
        <v>5.34</v>
      </c>
      <c r="J35">
        <f>Hoja2!J35/Hoja2!$B$105</f>
        <v>5.23</v>
      </c>
      <c r="K35">
        <f>Hoja2!K35/Hoja2!$B$105</f>
        <v>4.7300000000000004</v>
      </c>
      <c r="L35">
        <f>Hoja2!L35/Hoja2!$B$105</f>
        <v>3.85</v>
      </c>
      <c r="M35">
        <f>Hoja2!M35/Hoja2!$B$105</f>
        <v>2.58</v>
      </c>
      <c r="N35">
        <f>Hoja2!N35/Hoja2!$B$105</f>
        <v>1.67</v>
      </c>
      <c r="O35">
        <f>Hoja2!O35/Hoja2!$B$105</f>
        <v>1.23</v>
      </c>
      <c r="P35" s="16">
        <v>6.9</v>
      </c>
      <c r="Q35" s="16">
        <v>7.7</v>
      </c>
      <c r="R35" s="16">
        <v>10.7</v>
      </c>
      <c r="S35" s="16">
        <v>11.9</v>
      </c>
      <c r="T35" s="16">
        <v>15.1</v>
      </c>
      <c r="U35" s="16">
        <v>19.2</v>
      </c>
      <c r="V35" s="16">
        <v>20.6</v>
      </c>
      <c r="W35" s="16">
        <v>20.6</v>
      </c>
      <c r="X35" s="16">
        <v>18.399999999999999</v>
      </c>
      <c r="Y35" s="16">
        <v>15.2</v>
      </c>
      <c r="Z35" s="16">
        <v>10.4</v>
      </c>
      <c r="AA35" s="16">
        <v>7.6</v>
      </c>
    </row>
    <row r="36" spans="1:27">
      <c r="A36" s="3" t="s">
        <v>16</v>
      </c>
      <c r="B36" s="12">
        <f>-(4+31/60+52/3600)</f>
        <v>-4.5311111111111106</v>
      </c>
      <c r="C36" s="12">
        <f>42+0/60+44/3600</f>
        <v>42.012222222222221</v>
      </c>
      <c r="D36">
        <f>Hoja2!D36/Hoja2!$B$105</f>
        <v>1.71</v>
      </c>
      <c r="E36">
        <f>Hoja2!E36/Hoja2!$B$105</f>
        <v>2.5499999999999998</v>
      </c>
      <c r="F36">
        <f>Hoja2!F36/Hoja2!$B$105</f>
        <v>4.0999999999999996</v>
      </c>
      <c r="G36">
        <f>Hoja2!G36/Hoja2!$B$105</f>
        <v>4.91</v>
      </c>
      <c r="H36">
        <f>Hoja2!H36/Hoja2!$B$105</f>
        <v>6</v>
      </c>
      <c r="I36">
        <f>Hoja2!I36/Hoja2!$B$105</f>
        <v>6.72</v>
      </c>
      <c r="J36">
        <f>Hoja2!J36/Hoja2!$B$105</f>
        <v>6.8</v>
      </c>
      <c r="K36">
        <f>Hoja2!K36/Hoja2!$B$105</f>
        <v>5.99</v>
      </c>
      <c r="L36">
        <f>Hoja2!L36/Hoja2!$B$105</f>
        <v>4.62</v>
      </c>
      <c r="M36">
        <f>Hoja2!M36/Hoja2!$B$105</f>
        <v>3.13</v>
      </c>
      <c r="N36">
        <f>Hoja2!N36/Hoja2!$B$105</f>
        <v>1.89</v>
      </c>
      <c r="O36">
        <f>Hoja2!O36/Hoja2!$B$105</f>
        <v>1.33</v>
      </c>
      <c r="P36" s="16">
        <v>3.5</v>
      </c>
      <c r="Q36" s="16">
        <v>4.4000000000000004</v>
      </c>
      <c r="R36" s="16">
        <v>7.4</v>
      </c>
      <c r="S36" s="16">
        <v>9.5</v>
      </c>
      <c r="T36" s="16">
        <v>13.5</v>
      </c>
      <c r="U36" s="16">
        <v>18.5</v>
      </c>
      <c r="V36" s="16">
        <v>20.5</v>
      </c>
      <c r="W36" s="16">
        <v>20.6</v>
      </c>
      <c r="X36" s="16">
        <v>17.2</v>
      </c>
      <c r="Y36" s="16">
        <v>12.4</v>
      </c>
      <c r="Z36" s="16">
        <v>6.9</v>
      </c>
      <c r="AA36" s="16">
        <v>3.7</v>
      </c>
    </row>
    <row r="37" spans="1:27">
      <c r="A37" s="3" t="s">
        <v>214</v>
      </c>
      <c r="B37" s="12">
        <f>2+38/60+59/3600</f>
        <v>2.6497222222222221</v>
      </c>
      <c r="C37" s="12">
        <f>39+34/60+10/3600</f>
        <v>39.56944444444445</v>
      </c>
      <c r="D37">
        <f>Hoja2!D37/Hoja2!$B$105</f>
        <v>2.06</v>
      </c>
      <c r="E37">
        <f>Hoja2!E37/Hoja2!$B$105</f>
        <v>2.73</v>
      </c>
      <c r="F37">
        <f>Hoja2!F37/Hoja2!$B$105</f>
        <v>4.01</v>
      </c>
      <c r="G37">
        <f>Hoja2!G37/Hoja2!$B$105</f>
        <v>5.12</v>
      </c>
      <c r="H37">
        <f>Hoja2!H37/Hoja2!$B$105</f>
        <v>6.18</v>
      </c>
      <c r="I37">
        <f>Hoja2!I37/Hoja2!$B$105</f>
        <v>6.72</v>
      </c>
      <c r="J37">
        <f>Hoja2!J37/Hoja2!$B$105</f>
        <v>6.73</v>
      </c>
      <c r="K37">
        <f>Hoja2!K37/Hoja2!$B$105</f>
        <v>5.93</v>
      </c>
      <c r="L37">
        <f>Hoja2!L37/Hoja2!$B$105</f>
        <v>4.6500000000000004</v>
      </c>
      <c r="M37">
        <f>Hoja2!M37/Hoja2!$B$105</f>
        <v>3.41</v>
      </c>
      <c r="N37">
        <f>Hoja2!N37/Hoja2!$B$105</f>
        <v>2.2200000000000002</v>
      </c>
      <c r="O37">
        <f>Hoja2!O37/Hoja2!$B$105</f>
        <v>1.81</v>
      </c>
      <c r="P37" s="16">
        <v>11</v>
      </c>
      <c r="Q37" s="16">
        <v>10.9</v>
      </c>
      <c r="R37" s="16">
        <v>12.7</v>
      </c>
      <c r="S37" s="16">
        <v>15.2</v>
      </c>
      <c r="T37" s="16">
        <v>18.3</v>
      </c>
      <c r="U37" s="16">
        <v>22.2</v>
      </c>
      <c r="V37" s="16">
        <v>25</v>
      </c>
      <c r="W37" s="16">
        <v>25.5</v>
      </c>
      <c r="X37" s="16">
        <v>22.5</v>
      </c>
      <c r="Y37" s="16">
        <v>19.7</v>
      </c>
      <c r="Z37" s="16">
        <v>15.3</v>
      </c>
      <c r="AA37" s="16">
        <v>12.2</v>
      </c>
    </row>
    <row r="38" spans="1:27">
      <c r="A38" s="3" t="s">
        <v>213</v>
      </c>
      <c r="B38" s="12">
        <f>-(1+38/60+39/3600)</f>
        <v>-1.6441666666666666</v>
      </c>
      <c r="C38" s="12">
        <f xml:space="preserve"> 42+49/60+4/3600</f>
        <v>42.817777777777778</v>
      </c>
      <c r="D38">
        <f>Hoja2!D38/Hoja2!$B$105</f>
        <v>1.56</v>
      </c>
      <c r="E38">
        <f>Hoja2!E38/Hoja2!$B$105</f>
        <v>2.33</v>
      </c>
      <c r="F38">
        <f>Hoja2!F38/Hoja2!$B$105</f>
        <v>3.7</v>
      </c>
      <c r="G38">
        <f>Hoja2!G38/Hoja2!$B$105</f>
        <v>4.59</v>
      </c>
      <c r="H38">
        <f>Hoja2!H38/Hoja2!$B$105</f>
        <v>5.55</v>
      </c>
      <c r="I38">
        <f>Hoja2!I38/Hoja2!$B$105</f>
        <v>6.28</v>
      </c>
      <c r="J38">
        <f>Hoja2!J38/Hoja2!$B$105</f>
        <v>6.26</v>
      </c>
      <c r="K38">
        <f>Hoja2!K38/Hoja2!$B$105</f>
        <v>5.57</v>
      </c>
      <c r="L38">
        <f>Hoja2!L38/Hoja2!$B$105</f>
        <v>4.4800000000000004</v>
      </c>
      <c r="M38">
        <f>Hoja2!M38/Hoja2!$B$105</f>
        <v>2.95</v>
      </c>
      <c r="N38">
        <f>Hoja2!N38/Hoja2!$B$105</f>
        <v>1.83</v>
      </c>
      <c r="O38">
        <f>Hoja2!O38/Hoja2!$B$105</f>
        <v>1.38</v>
      </c>
      <c r="P38" s="16">
        <v>4.9000000000000004</v>
      </c>
      <c r="Q38" s="16">
        <v>5.5</v>
      </c>
      <c r="R38" s="16">
        <v>8.5</v>
      </c>
      <c r="S38" s="16">
        <v>10.7</v>
      </c>
      <c r="T38" s="16">
        <v>14.5</v>
      </c>
      <c r="U38" s="16">
        <v>18.600000000000001</v>
      </c>
      <c r="V38" s="16">
        <v>20.5</v>
      </c>
      <c r="W38" s="16">
        <v>21</v>
      </c>
      <c r="X38" s="16">
        <v>17.7</v>
      </c>
      <c r="Y38" s="16">
        <v>14.1</v>
      </c>
      <c r="Z38" s="16">
        <v>8.4</v>
      </c>
      <c r="AA38" s="16">
        <v>5.2</v>
      </c>
    </row>
    <row r="39" spans="1:27">
      <c r="A39" s="3" t="s">
        <v>17</v>
      </c>
      <c r="B39" s="12">
        <f>-(8+38/60+53/3600)</f>
        <v>-8.6480555555555547</v>
      </c>
      <c r="C39" s="12">
        <f>42+26/60+1/3600</f>
        <v>42.433611111111105</v>
      </c>
      <c r="D39">
        <f>Hoja2!D39/Hoja2!$B$105</f>
        <v>1.74</v>
      </c>
      <c r="E39">
        <f>Hoja2!E39/Hoja2!$B$105</f>
        <v>2.4</v>
      </c>
      <c r="F39">
        <f>Hoja2!F39/Hoja2!$B$105</f>
        <v>3.92</v>
      </c>
      <c r="G39">
        <f>Hoja2!G39/Hoja2!$B$105</f>
        <v>4.68</v>
      </c>
      <c r="H39">
        <f>Hoja2!H39/Hoja2!$B$105</f>
        <v>5.6</v>
      </c>
      <c r="I39">
        <f>Hoja2!I39/Hoja2!$B$105</f>
        <v>6.51</v>
      </c>
      <c r="J39">
        <f>Hoja2!J39/Hoja2!$B$105</f>
        <v>6.06</v>
      </c>
      <c r="K39">
        <f>Hoja2!K39/Hoja2!$B$105</f>
        <v>5.78</v>
      </c>
      <c r="L39">
        <f>Hoja2!L39/Hoja2!$B$105</f>
        <v>4.38</v>
      </c>
      <c r="M39">
        <f>Hoja2!M39/Hoja2!$B$105</f>
        <v>3.02</v>
      </c>
      <c r="N39">
        <f>Hoja2!N39/Hoja2!$B$105</f>
        <v>1.93</v>
      </c>
      <c r="O39">
        <f>Hoja2!O39/Hoja2!$B$105</f>
        <v>1.31</v>
      </c>
      <c r="P39" s="16">
        <v>9.6</v>
      </c>
      <c r="Q39" s="16">
        <v>9.6999999999999993</v>
      </c>
      <c r="R39" s="16">
        <v>11.8</v>
      </c>
      <c r="S39" s="16">
        <v>13.3</v>
      </c>
      <c r="T39" s="16">
        <v>15.5</v>
      </c>
      <c r="U39" s="16">
        <v>18.100000000000001</v>
      </c>
      <c r="V39" s="16">
        <v>20</v>
      </c>
      <c r="W39" s="16">
        <v>20.399999999999999</v>
      </c>
      <c r="X39" s="16">
        <v>19.600000000000001</v>
      </c>
      <c r="Y39" s="16">
        <v>16.100000000000001</v>
      </c>
      <c r="Z39" s="16">
        <v>12</v>
      </c>
      <c r="AA39" s="16">
        <v>10.1</v>
      </c>
    </row>
    <row r="40" spans="1:27">
      <c r="A40" s="3" t="s">
        <v>18</v>
      </c>
      <c r="B40" s="12">
        <f>-(5+39/60+46/3600)</f>
        <v>-5.6627777777777784</v>
      </c>
      <c r="C40" s="12">
        <f>40+57/60+53/3600</f>
        <v>40.964722222222228</v>
      </c>
      <c r="D40">
        <f>Hoja2!D40/Hoja2!$B$105</f>
        <v>1.9</v>
      </c>
      <c r="E40">
        <f>Hoja2!E40/Hoja2!$B$105</f>
        <v>2.69</v>
      </c>
      <c r="F40">
        <f>Hoja2!F40/Hoja2!$B$105</f>
        <v>4.41</v>
      </c>
      <c r="G40">
        <f>Hoja2!G40/Hoja2!$B$105</f>
        <v>4.96</v>
      </c>
      <c r="H40">
        <f>Hoja2!H40/Hoja2!$B$105</f>
        <v>6.3</v>
      </c>
      <c r="I40">
        <f>Hoja2!I40/Hoja2!$B$105</f>
        <v>7.15</v>
      </c>
      <c r="J40">
        <f>Hoja2!J40/Hoja2!$B$105</f>
        <v>7.21</v>
      </c>
      <c r="K40">
        <f>Hoja2!K40/Hoja2!$B$105</f>
        <v>6.47</v>
      </c>
      <c r="L40">
        <f>Hoja2!L40/Hoja2!$B$105</f>
        <v>4.8499999999999996</v>
      </c>
      <c r="M40">
        <f>Hoja2!M40/Hoja2!$B$105</f>
        <v>3.24</v>
      </c>
      <c r="N40">
        <f>Hoja2!N40/Hoja2!$B$105</f>
        <v>2.0099999999999998</v>
      </c>
      <c r="O40">
        <f>Hoja2!O40/Hoja2!$B$105</f>
        <v>1.46</v>
      </c>
      <c r="P40" s="16">
        <v>3.5</v>
      </c>
      <c r="Q40" s="16">
        <v>4.5999999999999996</v>
      </c>
      <c r="R40" s="16">
        <v>7.8</v>
      </c>
      <c r="S40" s="16">
        <v>9.8000000000000007</v>
      </c>
      <c r="T40" s="16">
        <v>13.9</v>
      </c>
      <c r="U40" s="16">
        <v>19.3</v>
      </c>
      <c r="V40" s="16">
        <v>21.6</v>
      </c>
      <c r="W40" s="16">
        <v>21.6</v>
      </c>
      <c r="X40" s="16">
        <v>17.899999999999999</v>
      </c>
      <c r="Y40" s="16">
        <v>12.5</v>
      </c>
      <c r="Z40" s="16">
        <v>7.1</v>
      </c>
      <c r="AA40" s="16">
        <v>4.2</v>
      </c>
    </row>
    <row r="41" spans="1:27">
      <c r="A41" s="3" t="s">
        <v>298</v>
      </c>
      <c r="B41" s="12">
        <f>-(1+59/60+4/3600)</f>
        <v>-1.9844444444444445</v>
      </c>
      <c r="C41" s="12">
        <f>43+19/60+14/3600</f>
        <v>43.320555555555558</v>
      </c>
      <c r="D41">
        <f>Hoja2!D41/Hoja2!$B$105</f>
        <v>1.41</v>
      </c>
      <c r="E41">
        <f>Hoja2!E41/Hoja2!$B$105</f>
        <v>2.13</v>
      </c>
      <c r="F41">
        <f>Hoja2!F41/Hoja2!$B$105</f>
        <v>3.45</v>
      </c>
      <c r="G41">
        <f>Hoja2!G41/Hoja2!$B$105</f>
        <v>4.34</v>
      </c>
      <c r="H41">
        <f>Hoja2!H41/Hoja2!$B$105</f>
        <v>5.3</v>
      </c>
      <c r="I41">
        <f>Hoja2!I41/Hoja2!$B$105</f>
        <v>5.91</v>
      </c>
      <c r="J41">
        <f>Hoja2!J41/Hoja2!$B$105</f>
        <v>5.88</v>
      </c>
      <c r="K41">
        <f>Hoja2!K41/Hoja2!$B$105</f>
        <v>5.23</v>
      </c>
      <c r="L41">
        <f>Hoja2!L41/Hoja2!$B$105</f>
        <v>4.2300000000000004</v>
      </c>
      <c r="M41">
        <f>Hoja2!M41/Hoja2!$B$105</f>
        <v>2.73</v>
      </c>
      <c r="N41">
        <f>Hoja2!N41/Hoja2!$B$105</f>
        <v>1.67</v>
      </c>
      <c r="O41">
        <f>Hoja2!O41/Hoja2!$B$105</f>
        <v>1.25</v>
      </c>
      <c r="P41" s="16">
        <v>7.7</v>
      </c>
      <c r="Q41" s="16">
        <v>8</v>
      </c>
      <c r="R41" s="16">
        <v>10.9</v>
      </c>
      <c r="S41" s="16">
        <v>12.6</v>
      </c>
      <c r="T41" s="16">
        <v>15.4</v>
      </c>
      <c r="U41" s="16">
        <v>18.5</v>
      </c>
      <c r="V41" s="16">
        <v>20</v>
      </c>
      <c r="W41" s="16">
        <v>20.6</v>
      </c>
      <c r="X41" s="16">
        <v>18.899999999999999</v>
      </c>
      <c r="Y41" s="16">
        <v>16.100000000000001</v>
      </c>
      <c r="Z41" s="16">
        <v>11.2</v>
      </c>
      <c r="AA41" s="16">
        <v>8.4</v>
      </c>
    </row>
    <row r="42" spans="1:27">
      <c r="A42" s="3" t="s">
        <v>19</v>
      </c>
      <c r="B42" s="18">
        <f>-(16+15/60+17/3600)</f>
        <v>-16.254722222222224</v>
      </c>
      <c r="C42" s="18">
        <f>28+28/60+11/3600</f>
        <v>28.46972222222222</v>
      </c>
      <c r="D42" s="17">
        <v>3.69</v>
      </c>
      <c r="E42" s="17">
        <v>4.59</v>
      </c>
      <c r="F42" s="17">
        <v>5.71</v>
      </c>
      <c r="G42" s="17">
        <v>6.68</v>
      </c>
      <c r="H42" s="17">
        <v>7.29</v>
      </c>
      <c r="I42" s="17">
        <v>7.25</v>
      </c>
      <c r="J42" s="17">
        <v>6.9</v>
      </c>
      <c r="K42" s="17">
        <v>6.8</v>
      </c>
      <c r="L42" s="17">
        <v>6.26</v>
      </c>
      <c r="M42" s="17">
        <v>5.01</v>
      </c>
      <c r="N42" s="17">
        <v>3.88</v>
      </c>
      <c r="O42" s="17">
        <v>3.38</v>
      </c>
      <c r="P42" s="17">
        <v>17.600000000000001</v>
      </c>
      <c r="Q42" s="17">
        <v>17.100000000000001</v>
      </c>
      <c r="R42" s="17">
        <v>17.3</v>
      </c>
      <c r="S42" s="17">
        <v>17.600000000000001</v>
      </c>
      <c r="T42" s="17">
        <v>18.5</v>
      </c>
      <c r="U42" s="17">
        <v>20</v>
      </c>
      <c r="V42" s="17">
        <v>21.2</v>
      </c>
      <c r="W42" s="17">
        <v>22.1</v>
      </c>
      <c r="X42" s="17">
        <v>22.3</v>
      </c>
      <c r="Y42" s="17">
        <v>21.7</v>
      </c>
      <c r="Z42" s="17">
        <v>20.5</v>
      </c>
      <c r="AA42" s="17">
        <v>19</v>
      </c>
    </row>
    <row r="43" spans="1:27">
      <c r="A43" s="3" t="s">
        <v>215</v>
      </c>
      <c r="B43" s="12">
        <f>3+48/60+28/3600</f>
        <v>3.8077777777777775</v>
      </c>
      <c r="C43" s="12">
        <f>43+27/60+39/3600</f>
        <v>43.460833333333333</v>
      </c>
      <c r="D43">
        <f>Hoja2!D43/Hoja2!$B$105</f>
        <v>1.42</v>
      </c>
      <c r="E43">
        <f>Hoja2!E43/Hoja2!$B$105</f>
        <v>2.06</v>
      </c>
      <c r="F43">
        <f>Hoja2!F43/Hoja2!$B$105</f>
        <v>3.45</v>
      </c>
      <c r="G43">
        <f>Hoja2!G43/Hoja2!$B$105</f>
        <v>4.17</v>
      </c>
      <c r="H43">
        <f>Hoja2!H43/Hoja2!$B$105</f>
        <v>5.12</v>
      </c>
      <c r="I43">
        <f>Hoja2!I43/Hoja2!$B$105</f>
        <v>5.55</v>
      </c>
      <c r="J43">
        <f>Hoja2!J43/Hoja2!$B$105</f>
        <v>5.55</v>
      </c>
      <c r="K43">
        <f>Hoja2!K43/Hoja2!$B$105</f>
        <v>4.9000000000000004</v>
      </c>
      <c r="L43">
        <f>Hoja2!L43/Hoja2!$B$105</f>
        <v>3.97</v>
      </c>
      <c r="M43">
        <f>Hoja2!M43/Hoja2!$B$105</f>
        <v>2.63</v>
      </c>
      <c r="N43">
        <f>Hoja2!N43/Hoja2!$B$105</f>
        <v>1.59</v>
      </c>
      <c r="O43">
        <f>Hoja2!O43/Hoja2!$B$105</f>
        <v>1.22</v>
      </c>
      <c r="P43" s="16">
        <v>7.8</v>
      </c>
      <c r="Q43" s="16">
        <v>8.6</v>
      </c>
      <c r="R43" s="16">
        <v>11.3</v>
      </c>
      <c r="S43" s="16">
        <v>12.2</v>
      </c>
      <c r="T43" s="16">
        <v>14.8</v>
      </c>
      <c r="U43" s="16">
        <v>17.399999999999999</v>
      </c>
      <c r="V43" s="16">
        <v>18.5</v>
      </c>
      <c r="W43" s="16">
        <v>18.8</v>
      </c>
      <c r="X43" s="16">
        <v>17.899999999999999</v>
      </c>
      <c r="Y43" s="16">
        <v>15.8</v>
      </c>
      <c r="Z43" s="16">
        <v>11.3</v>
      </c>
      <c r="AA43" s="16">
        <v>8.8000000000000007</v>
      </c>
    </row>
    <row r="44" spans="1:27">
      <c r="A44" s="3" t="s">
        <v>20</v>
      </c>
      <c r="B44" s="12">
        <f>-(4+7/60+9/3600)</f>
        <v>-4.1191666666666666</v>
      </c>
      <c r="C44" s="12">
        <f>40+56/60+57/3600</f>
        <v>40.949166666666663</v>
      </c>
      <c r="D44">
        <f>Hoja2!D44/Hoja2!$B$105</f>
        <v>1.94</v>
      </c>
      <c r="E44">
        <f>Hoja2!E44/Hoja2!$B$105</f>
        <v>2.72</v>
      </c>
      <c r="F44">
        <f>Hoja2!F44/Hoja2!$B$105</f>
        <v>4.4400000000000004</v>
      </c>
      <c r="G44">
        <f>Hoja2!G44/Hoja2!$B$105</f>
        <v>5.22</v>
      </c>
      <c r="H44">
        <f>Hoja2!H44/Hoja2!$B$105</f>
        <v>6.48</v>
      </c>
      <c r="I44">
        <f>Hoja2!I44/Hoja2!$B$105</f>
        <v>7.24</v>
      </c>
      <c r="J44">
        <f>Hoja2!J44/Hoja2!$B$105</f>
        <v>7.38</v>
      </c>
      <c r="K44">
        <f>Hoja2!K44/Hoja2!$B$105</f>
        <v>6.47</v>
      </c>
      <c r="L44">
        <f>Hoja2!L44/Hoja2!$B$105</f>
        <v>4.96</v>
      </c>
      <c r="M44">
        <f>Hoja2!M44/Hoja2!$B$105</f>
        <v>3.37</v>
      </c>
      <c r="N44">
        <f>Hoja2!N44/Hoja2!$B$105</f>
        <v>2.12</v>
      </c>
      <c r="O44">
        <f>Hoja2!O44/Hoja2!$B$105</f>
        <v>1.56</v>
      </c>
      <c r="P44" s="16">
        <v>2.9</v>
      </c>
      <c r="Q44" s="16">
        <v>3.2</v>
      </c>
      <c r="R44" s="16">
        <v>6.6</v>
      </c>
      <c r="S44" s="16">
        <v>9.1999999999999993</v>
      </c>
      <c r="T44" s="16">
        <v>13.8</v>
      </c>
      <c r="U44" s="16">
        <v>19.7</v>
      </c>
      <c r="V44" s="16">
        <v>22.5</v>
      </c>
      <c r="W44" s="16">
        <v>22.2</v>
      </c>
      <c r="X44" s="16">
        <v>18</v>
      </c>
      <c r="Y44" s="16">
        <v>12.5</v>
      </c>
      <c r="Z44" s="16">
        <v>6.1</v>
      </c>
      <c r="AA44" s="16">
        <v>3.4</v>
      </c>
    </row>
    <row r="45" spans="1:27">
      <c r="A45" s="3" t="s">
        <v>21</v>
      </c>
      <c r="B45" s="12">
        <f>-(5+59/60+46/3600)</f>
        <v>-5.9961111111111114</v>
      </c>
      <c r="C45" s="12">
        <f>37+22/60+57/3600</f>
        <v>37.3825</v>
      </c>
      <c r="D45">
        <f>Hoja2!D45/Hoja2!$B$105</f>
        <v>2.44</v>
      </c>
      <c r="E45">
        <f>Hoja2!E45/Hoja2!$B$105</f>
        <v>3.08</v>
      </c>
      <c r="F45">
        <f>Hoja2!F45/Hoja2!$B$105</f>
        <v>4.57</v>
      </c>
      <c r="G45">
        <f>Hoja2!G45/Hoja2!$B$105</f>
        <v>5.24</v>
      </c>
      <c r="H45">
        <f>Hoja2!H45/Hoja2!$B$105</f>
        <v>6.75</v>
      </c>
      <c r="I45">
        <f>Hoja2!I45/Hoja2!$B$105</f>
        <v>7.26</v>
      </c>
      <c r="J45">
        <f>Hoja2!J45/Hoja2!$B$105</f>
        <v>7.04</v>
      </c>
      <c r="K45">
        <f>Hoja2!K45/Hoja2!$B$105</f>
        <v>6.35</v>
      </c>
      <c r="L45">
        <f>Hoja2!L45/Hoja2!$B$105</f>
        <v>5.07</v>
      </c>
      <c r="M45">
        <f>Hoja2!M45/Hoja2!$B$105</f>
        <v>3.83</v>
      </c>
      <c r="N45">
        <f>Hoja2!N45/Hoja2!$B$105</f>
        <v>2.48</v>
      </c>
      <c r="O45">
        <f>Hoja2!O45/Hoja2!$B$105</f>
        <v>2.0699999999999998</v>
      </c>
      <c r="P45" s="16">
        <v>10.5</v>
      </c>
      <c r="Q45" s="16">
        <v>11.5</v>
      </c>
      <c r="R45" s="16">
        <v>14</v>
      </c>
      <c r="S45" s="16">
        <v>16.100000000000001</v>
      </c>
      <c r="T45" s="16">
        <v>19.5</v>
      </c>
      <c r="U45" s="16">
        <v>24.7</v>
      </c>
      <c r="V45" s="16">
        <v>26.8</v>
      </c>
      <c r="W45" s="16">
        <v>27.2</v>
      </c>
      <c r="X45" s="16">
        <v>23.5</v>
      </c>
      <c r="Y45" s="16">
        <v>19.2</v>
      </c>
      <c r="Z45" s="16">
        <v>14.1</v>
      </c>
      <c r="AA45" s="16">
        <v>11.6</v>
      </c>
    </row>
    <row r="46" spans="1:27">
      <c r="A46" s="3" t="s">
        <v>22</v>
      </c>
      <c r="B46" s="12">
        <f>-(2+27/60+53/3600)</f>
        <v>-2.4647222222222225</v>
      </c>
      <c r="C46" s="12">
        <f>41+45/60+48/3600</f>
        <v>41.763333333333335</v>
      </c>
      <c r="D46">
        <f>Hoja2!D46/Hoja2!$B$105</f>
        <v>1.88</v>
      </c>
      <c r="E46">
        <f>Hoja2!E46/Hoja2!$B$105</f>
        <v>2.67</v>
      </c>
      <c r="F46">
        <f>Hoja2!F46/Hoja2!$B$105</f>
        <v>4.26</v>
      </c>
      <c r="G46">
        <f>Hoja2!G46/Hoja2!$B$105</f>
        <v>5.13</v>
      </c>
      <c r="H46">
        <f>Hoja2!H46/Hoja2!$B$105</f>
        <v>6.35</v>
      </c>
      <c r="I46">
        <f>Hoja2!I46/Hoja2!$B$105</f>
        <v>6.96</v>
      </c>
      <c r="J46">
        <f>Hoja2!J46/Hoja2!$B$105</f>
        <v>7</v>
      </c>
      <c r="K46">
        <f>Hoja2!K46/Hoja2!$B$105</f>
        <v>6.1</v>
      </c>
      <c r="L46">
        <f>Hoja2!L46/Hoja2!$B$105</f>
        <v>4.79</v>
      </c>
      <c r="M46">
        <f>Hoja2!M46/Hoja2!$B$105</f>
        <v>3.26</v>
      </c>
      <c r="N46">
        <f>Hoja2!N46/Hoja2!$B$105</f>
        <v>2.06</v>
      </c>
      <c r="O46">
        <f>Hoja2!O46/Hoja2!$B$105</f>
        <v>1.56</v>
      </c>
      <c r="P46" s="16">
        <v>2.2999999999999998</v>
      </c>
      <c r="Q46" s="16">
        <v>3.1</v>
      </c>
      <c r="R46" s="16">
        <v>5.8</v>
      </c>
      <c r="S46" s="16">
        <v>8.1999999999999993</v>
      </c>
      <c r="T46" s="16">
        <v>12.3</v>
      </c>
      <c r="U46" s="16">
        <v>17.7</v>
      </c>
      <c r="V46" s="16">
        <v>20.5</v>
      </c>
      <c r="W46" s="16">
        <v>20.6</v>
      </c>
      <c r="X46" s="16">
        <v>16.100000000000001</v>
      </c>
      <c r="Y46" s="16">
        <v>11.6</v>
      </c>
      <c r="Z46" s="16">
        <v>5.4</v>
      </c>
      <c r="AA46" s="16">
        <v>2.9</v>
      </c>
    </row>
    <row r="47" spans="1:27">
      <c r="A47" s="3" t="s">
        <v>23</v>
      </c>
      <c r="B47" s="12">
        <f>(1+14/60+43/3600)</f>
        <v>1.2452777777777779</v>
      </c>
      <c r="C47" s="12">
        <f>41+7/60+7/3600</f>
        <v>41.118611111111115</v>
      </c>
      <c r="D47">
        <f>Hoja2!D47/Hoja2!$B$105</f>
        <v>1.89</v>
      </c>
      <c r="E47">
        <f>Hoja2!E47/Hoja2!$B$105</f>
        <v>2.58</v>
      </c>
      <c r="F47">
        <f>Hoja2!F47/Hoja2!$B$105</f>
        <v>3.92</v>
      </c>
      <c r="G47">
        <f>Hoja2!G47/Hoja2!$B$105</f>
        <v>4.8600000000000003</v>
      </c>
      <c r="H47">
        <f>Hoja2!H47/Hoja2!$B$105</f>
        <v>5.85</v>
      </c>
      <c r="I47">
        <f>Hoja2!I47/Hoja2!$B$105</f>
        <v>6.43</v>
      </c>
      <c r="J47">
        <f>Hoja2!J47/Hoja2!$B$105</f>
        <v>6.47</v>
      </c>
      <c r="K47">
        <f>Hoja2!K47/Hoja2!$B$105</f>
        <v>5.7</v>
      </c>
      <c r="L47">
        <f>Hoja2!L47/Hoja2!$B$105</f>
        <v>4.5</v>
      </c>
      <c r="M47">
        <f>Hoja2!M47/Hoja2!$B$105</f>
        <v>3.18</v>
      </c>
      <c r="N47">
        <f>Hoja2!N47/Hoja2!$B$105</f>
        <v>2.08</v>
      </c>
      <c r="O47">
        <f>Hoja2!O47/Hoja2!$B$105</f>
        <v>1.65</v>
      </c>
      <c r="P47" s="16">
        <v>11.3</v>
      </c>
      <c r="Q47" s="16">
        <v>11.2</v>
      </c>
      <c r="R47" s="16">
        <v>12.7</v>
      </c>
      <c r="S47" s="16">
        <v>14</v>
      </c>
      <c r="T47" s="16">
        <v>17.3</v>
      </c>
      <c r="U47" s="16">
        <v>21.2</v>
      </c>
      <c r="V47" s="16">
        <v>23.6</v>
      </c>
      <c r="W47" s="16">
        <v>24.4</v>
      </c>
      <c r="X47" s="16">
        <v>22.2</v>
      </c>
      <c r="Y47" s="16">
        <v>19.600000000000001</v>
      </c>
      <c r="Z47" s="16">
        <v>14.9</v>
      </c>
      <c r="AA47" s="16">
        <v>12.2</v>
      </c>
    </row>
    <row r="48" spans="1:27">
      <c r="A48" s="3" t="s">
        <v>24</v>
      </c>
      <c r="B48" s="12">
        <f>-(1+6/60+24/3600)</f>
        <v>-1.1066666666666667</v>
      </c>
      <c r="C48" s="12">
        <f>40+20/60+38/3600</f>
        <v>40.343888888888891</v>
      </c>
      <c r="D48">
        <f>Hoja2!D48/Hoja2!$B$105</f>
        <v>2.14</v>
      </c>
      <c r="E48">
        <f>Hoja2!E48/Hoja2!$B$105</f>
        <v>2.87</v>
      </c>
      <c r="F48">
        <f>Hoja2!F48/Hoja2!$B$105</f>
        <v>4.38</v>
      </c>
      <c r="G48">
        <f>Hoja2!G48/Hoja2!$B$105</f>
        <v>5.32</v>
      </c>
      <c r="H48">
        <f>Hoja2!H48/Hoja2!$B$105</f>
        <v>6.47</v>
      </c>
      <c r="I48">
        <f>Hoja2!I48/Hoja2!$B$105</f>
        <v>6.98</v>
      </c>
      <c r="J48">
        <f>Hoja2!J48/Hoja2!$B$105</f>
        <v>6.99</v>
      </c>
      <c r="K48">
        <f>Hoja2!K48/Hoja2!$B$105</f>
        <v>6.13</v>
      </c>
      <c r="L48">
        <f>Hoja2!L48/Hoja2!$B$105</f>
        <v>4.8600000000000003</v>
      </c>
      <c r="M48">
        <f>Hoja2!M48/Hoja2!$B$105</f>
        <v>3.44</v>
      </c>
      <c r="N48">
        <f>Hoja2!N48/Hoja2!$B$105</f>
        <v>2.2599999999999998</v>
      </c>
      <c r="O48">
        <f>Hoja2!O48/Hoja2!$B$105</f>
        <v>1.82</v>
      </c>
      <c r="P48" s="16">
        <v>3.9</v>
      </c>
      <c r="Q48" s="16">
        <v>4.8</v>
      </c>
      <c r="R48" s="16">
        <v>7.5</v>
      </c>
      <c r="S48" s="16">
        <v>10.199999999999999</v>
      </c>
      <c r="T48" s="16">
        <v>14.2</v>
      </c>
      <c r="U48" s="16">
        <v>19.600000000000001</v>
      </c>
      <c r="V48" s="16">
        <v>22.7</v>
      </c>
      <c r="W48" s="16">
        <v>22</v>
      </c>
      <c r="X48" s="16">
        <v>17.5</v>
      </c>
      <c r="Y48" s="16">
        <v>13.4</v>
      </c>
      <c r="Z48" s="16">
        <v>7.4</v>
      </c>
      <c r="AA48" s="16">
        <v>4.4000000000000004</v>
      </c>
    </row>
    <row r="49" spans="1:27">
      <c r="A49" s="3" t="s">
        <v>25</v>
      </c>
      <c r="B49" s="12">
        <f>-(4+1/60+28/3600)</f>
        <v>-4.0244444444444447</v>
      </c>
      <c r="C49" s="12">
        <f>39+51/60+24/3600</f>
        <v>39.856666666666669</v>
      </c>
      <c r="D49">
        <f>Hoja2!D49/Hoja2!$B$105</f>
        <v>2.1</v>
      </c>
      <c r="E49">
        <f>Hoja2!E49/Hoja2!$B$105</f>
        <v>2.78</v>
      </c>
      <c r="F49">
        <f>Hoja2!F49/Hoja2!$B$105</f>
        <v>4.55</v>
      </c>
      <c r="G49">
        <f>Hoja2!G49/Hoja2!$B$105</f>
        <v>5.17</v>
      </c>
      <c r="H49">
        <f>Hoja2!H49/Hoja2!$B$105</f>
        <v>6.55</v>
      </c>
      <c r="I49">
        <f>Hoja2!I49/Hoja2!$B$105</f>
        <v>7.24</v>
      </c>
      <c r="J49">
        <f>Hoja2!J49/Hoja2!$B$105</f>
        <v>7.29</v>
      </c>
      <c r="K49">
        <f>Hoja2!K49/Hoja2!$B$105</f>
        <v>6.38</v>
      </c>
      <c r="L49">
        <f>Hoja2!L49/Hoja2!$B$105</f>
        <v>4.95</v>
      </c>
      <c r="M49">
        <f>Hoja2!M49/Hoja2!$B$105</f>
        <v>3.4</v>
      </c>
      <c r="N49">
        <f>Hoja2!N49/Hoja2!$B$105</f>
        <v>2.19</v>
      </c>
      <c r="O49">
        <f>Hoja2!O49/Hoja2!$B$105</f>
        <v>1.71</v>
      </c>
      <c r="P49" s="16">
        <v>5.7</v>
      </c>
      <c r="Q49" s="16">
        <v>7.4</v>
      </c>
      <c r="R49" s="16">
        <v>10.7</v>
      </c>
      <c r="S49" s="16">
        <v>13.3</v>
      </c>
      <c r="T49" s="16">
        <v>18</v>
      </c>
      <c r="U49" s="16">
        <v>24.1</v>
      </c>
      <c r="V49" s="16">
        <v>27</v>
      </c>
      <c r="W49" s="16">
        <v>26.7</v>
      </c>
      <c r="X49" s="16">
        <v>22</v>
      </c>
      <c r="Y49" s="16">
        <v>16</v>
      </c>
      <c r="Z49" s="16">
        <v>9.8000000000000007</v>
      </c>
      <c r="AA49" s="16">
        <v>6.4</v>
      </c>
    </row>
    <row r="50" spans="1:27">
      <c r="A50" s="3" t="s">
        <v>26</v>
      </c>
      <c r="B50" s="12">
        <f>-(0+22/60+36/3600)</f>
        <v>-0.37666666666666665</v>
      </c>
      <c r="C50" s="12">
        <f>39+28/60+12/3600</f>
        <v>39.47</v>
      </c>
      <c r="D50">
        <f>Hoja2!D50/Hoja2!$B$105</f>
        <v>2.02</v>
      </c>
      <c r="E50">
        <f>Hoja2!E50/Hoja2!$B$105</f>
        <v>2.78</v>
      </c>
      <c r="F50">
        <f>Hoja2!F50/Hoja2!$B$105</f>
        <v>3.89</v>
      </c>
      <c r="G50">
        <f>Hoja2!G50/Hoja2!$B$105</f>
        <v>4.88</v>
      </c>
      <c r="H50">
        <f>Hoja2!H50/Hoja2!$B$105</f>
        <v>5.91</v>
      </c>
      <c r="I50">
        <f>Hoja2!I50/Hoja2!$B$105</f>
        <v>6.42</v>
      </c>
      <c r="J50">
        <f>Hoja2!J50/Hoja2!$B$105</f>
        <v>6.39</v>
      </c>
      <c r="K50">
        <f>Hoja2!K50/Hoja2!$B$105</f>
        <v>5.7</v>
      </c>
      <c r="L50">
        <f>Hoja2!L50/Hoja2!$B$105</f>
        <v>4.63</v>
      </c>
      <c r="M50">
        <f>Hoja2!M50/Hoja2!$B$105</f>
        <v>3.4</v>
      </c>
      <c r="N50">
        <f>Hoja2!N50/Hoja2!$B$105</f>
        <v>2.19</v>
      </c>
      <c r="O50">
        <f>Hoja2!O50/Hoja2!$B$105</f>
        <v>1.74</v>
      </c>
      <c r="P50" s="16">
        <v>7.1</v>
      </c>
      <c r="Q50" s="16">
        <v>7.9</v>
      </c>
      <c r="R50" s="16">
        <v>10.5</v>
      </c>
      <c r="S50" s="16">
        <v>12.9</v>
      </c>
      <c r="T50" s="16">
        <v>16.5</v>
      </c>
      <c r="U50" s="16">
        <v>21</v>
      </c>
      <c r="V50" s="16">
        <v>23.8</v>
      </c>
      <c r="W50" s="16">
        <v>23.4</v>
      </c>
      <c r="X50" s="16">
        <v>19.7</v>
      </c>
      <c r="Y50" s="16">
        <v>16</v>
      </c>
      <c r="Z50" s="16">
        <v>10.6</v>
      </c>
      <c r="AA50" s="16">
        <v>7.9</v>
      </c>
    </row>
    <row r="51" spans="1:27">
      <c r="A51" s="3" t="s">
        <v>27</v>
      </c>
      <c r="B51" s="12">
        <f>-(4+43/60+42/3600)</f>
        <v>-4.7283333333333335</v>
      </c>
      <c r="C51" s="12">
        <f>41+39/60+10/3600</f>
        <v>41.652777777777779</v>
      </c>
      <c r="D51">
        <f>Hoja2!D51/Hoja2!$B$105</f>
        <v>1.75</v>
      </c>
      <c r="E51">
        <f>Hoja2!E51/Hoja2!$B$105</f>
        <v>2.6</v>
      </c>
      <c r="F51">
        <f>Hoja2!F51/Hoja2!$B$105</f>
        <v>4.17</v>
      </c>
      <c r="G51">
        <f>Hoja2!G51/Hoja2!$B$105</f>
        <v>4.97</v>
      </c>
      <c r="H51">
        <f>Hoja2!H51/Hoja2!$B$105</f>
        <v>6.12</v>
      </c>
      <c r="I51">
        <f>Hoja2!I51/Hoja2!$B$105</f>
        <v>6.89</v>
      </c>
      <c r="J51">
        <f>Hoja2!J51/Hoja2!$B$105</f>
        <v>6.99</v>
      </c>
      <c r="K51">
        <f>Hoja2!K51/Hoja2!$B$105</f>
        <v>6.14</v>
      </c>
      <c r="L51">
        <f>Hoja2!L51/Hoja2!$B$105</f>
        <v>4.71</v>
      </c>
      <c r="M51">
        <f>Hoja2!M51/Hoja2!$B$105</f>
        <v>3.19</v>
      </c>
      <c r="N51">
        <f>Hoja2!N51/Hoja2!$B$105</f>
        <v>1.94</v>
      </c>
      <c r="O51">
        <f>Hoja2!O51/Hoja2!$B$105</f>
        <v>1.36</v>
      </c>
      <c r="P51" s="16">
        <v>3.7</v>
      </c>
      <c r="Q51" s="16">
        <v>4.8</v>
      </c>
      <c r="R51" s="16">
        <v>7.9</v>
      </c>
      <c r="S51" s="16">
        <v>10.199999999999999</v>
      </c>
      <c r="T51" s="16">
        <v>14.5</v>
      </c>
      <c r="U51" s="16">
        <v>19.7</v>
      </c>
      <c r="V51" s="16">
        <v>22</v>
      </c>
      <c r="W51" s="16">
        <v>21.9</v>
      </c>
      <c r="X51" s="16">
        <v>18.100000000000001</v>
      </c>
      <c r="Y51" s="16">
        <v>12.9</v>
      </c>
      <c r="Z51" s="16">
        <v>7.3</v>
      </c>
      <c r="AA51" s="16">
        <v>4</v>
      </c>
    </row>
    <row r="52" spans="1:27">
      <c r="A52" s="3" t="s">
        <v>299</v>
      </c>
      <c r="B52" s="12">
        <f>-(2+40/60+17/3600)</f>
        <v>-2.6713888888888886</v>
      </c>
      <c r="C52" s="12">
        <f>42+50/60+48/3600</f>
        <v>42.846666666666671</v>
      </c>
      <c r="D52">
        <f>Hoja2!D52/Hoja2!$B$105</f>
        <v>1.59</v>
      </c>
      <c r="E52">
        <f>Hoja2!E52/Hoja2!$B$105</f>
        <v>2.3199999999999998</v>
      </c>
      <c r="F52">
        <f>Hoja2!F52/Hoja2!$B$105</f>
        <v>3.75</v>
      </c>
      <c r="G52">
        <f>Hoja2!G52/Hoja2!$B$105</f>
        <v>4.55</v>
      </c>
      <c r="H52">
        <f>Hoja2!H52/Hoja2!$B$105</f>
        <v>5.63</v>
      </c>
      <c r="I52">
        <f>Hoja2!I52/Hoja2!$B$105</f>
        <v>6.29</v>
      </c>
      <c r="J52">
        <f>Hoja2!J52/Hoja2!$B$105</f>
        <v>6.31</v>
      </c>
      <c r="K52">
        <f>Hoja2!K52/Hoja2!$B$105</f>
        <v>5.56</v>
      </c>
      <c r="L52">
        <f>Hoja2!L52/Hoja2!$B$105</f>
        <v>4.41</v>
      </c>
      <c r="M52">
        <f>Hoja2!M52/Hoja2!$B$105</f>
        <v>2.93</v>
      </c>
      <c r="N52">
        <f>Hoja2!N52/Hoja2!$B$105</f>
        <v>1.77</v>
      </c>
      <c r="O52">
        <f>Hoja2!O52/Hoja2!$B$105</f>
        <v>1.32</v>
      </c>
      <c r="P52" s="16">
        <v>4.7</v>
      </c>
      <c r="Q52" s="16">
        <v>5</v>
      </c>
      <c r="R52" s="16">
        <v>8</v>
      </c>
      <c r="S52" s="16">
        <v>9.8000000000000007</v>
      </c>
      <c r="T52" s="16">
        <v>13.1</v>
      </c>
      <c r="U52" s="16">
        <v>16.8</v>
      </c>
      <c r="V52" s="16">
        <v>18.5</v>
      </c>
      <c r="W52" s="16">
        <v>19</v>
      </c>
      <c r="X52" s="16">
        <v>16.600000000000001</v>
      </c>
      <c r="Y52" s="16">
        <v>13.4</v>
      </c>
      <c r="Z52" s="16">
        <v>8</v>
      </c>
      <c r="AA52" s="16">
        <v>4.9000000000000004</v>
      </c>
    </row>
    <row r="53" spans="1:27">
      <c r="A53" s="3" t="s">
        <v>28</v>
      </c>
      <c r="B53" s="12">
        <f>-(5+44/60+37/3600)</f>
        <v>-5.743611111111111</v>
      </c>
      <c r="C53" s="12">
        <f>41+(30/60)+(13/3600)</f>
        <v>41.503611111111113</v>
      </c>
      <c r="D53">
        <f>Hoja2!D53/Hoja2!$B$105</f>
        <v>1.81</v>
      </c>
      <c r="E53">
        <f>Hoja2!E53/Hoja2!$B$105</f>
        <v>2.62</v>
      </c>
      <c r="F53">
        <f>Hoja2!F53/Hoja2!$B$105</f>
        <v>4.22</v>
      </c>
      <c r="G53">
        <f>Hoja2!G53/Hoja2!$B$105</f>
        <v>4.8600000000000003</v>
      </c>
      <c r="H53">
        <f>Hoja2!H53/Hoja2!$B$105</f>
        <v>6.06</v>
      </c>
      <c r="I53">
        <f>Hoja2!I53/Hoja2!$B$105</f>
        <v>6.93</v>
      </c>
      <c r="J53">
        <f>Hoja2!J53/Hoja2!$B$105</f>
        <v>7.01</v>
      </c>
      <c r="K53">
        <f>Hoja2!K53/Hoja2!$B$105</f>
        <v>6.32</v>
      </c>
      <c r="L53">
        <f>Hoja2!L53/Hoja2!$B$105</f>
        <v>4.76</v>
      </c>
      <c r="M53">
        <f>Hoja2!M53/Hoja2!$B$105</f>
        <v>3.17</v>
      </c>
      <c r="N53">
        <f>Hoja2!N53/Hoja2!$B$105</f>
        <v>1.94</v>
      </c>
      <c r="O53">
        <f>Hoja2!O53/Hoja2!$B$105</f>
        <v>1.38</v>
      </c>
      <c r="P53" s="16">
        <v>4</v>
      </c>
      <c r="Q53" s="16">
        <v>5.2</v>
      </c>
      <c r="R53" s="16">
        <v>8.4</v>
      </c>
      <c r="S53" s="16">
        <v>10.5</v>
      </c>
      <c r="T53" s="16">
        <v>14.5</v>
      </c>
      <c r="U53" s="16">
        <v>20</v>
      </c>
      <c r="V53" s="16">
        <v>21.9</v>
      </c>
      <c r="W53" s="16">
        <v>22.1</v>
      </c>
      <c r="X53" s="16">
        <v>18.5</v>
      </c>
      <c r="Y53" s="16">
        <v>13.1</v>
      </c>
      <c r="Z53" s="16">
        <v>7.7</v>
      </c>
      <c r="AA53" s="16">
        <v>4.3</v>
      </c>
    </row>
    <row r="54" spans="1:27">
      <c r="A54" s="3" t="s">
        <v>29</v>
      </c>
      <c r="B54" s="12">
        <f>-(0+52/60+47/3600)</f>
        <v>-0.87972222222222229</v>
      </c>
      <c r="C54" s="12">
        <f>41+(39/60)+(24/3600)</f>
        <v>41.656666666666666</v>
      </c>
      <c r="D54">
        <f>Hoja2!D54/Hoja2!$B$105</f>
        <v>1.78</v>
      </c>
      <c r="E54">
        <f>Hoja2!E54/Hoja2!$B$105</f>
        <v>2.5</v>
      </c>
      <c r="F54">
        <f>Hoja2!F54/Hoja2!$B$105</f>
        <v>3.89</v>
      </c>
      <c r="G54">
        <f>Hoja2!G54/Hoja2!$B$105</f>
        <v>4.75</v>
      </c>
      <c r="H54">
        <f>Hoja2!H54/Hoja2!$B$105</f>
        <v>5.76</v>
      </c>
      <c r="I54">
        <f>Hoja2!I54/Hoja2!$B$105</f>
        <v>6.39</v>
      </c>
      <c r="J54">
        <f>Hoja2!J54/Hoja2!$B$105</f>
        <v>6.4</v>
      </c>
      <c r="K54">
        <f>Hoja2!K54/Hoja2!$B$105</f>
        <v>5.58</v>
      </c>
      <c r="L54">
        <f>Hoja2!L54/Hoja2!$B$105</f>
        <v>4.53</v>
      </c>
      <c r="M54">
        <f>Hoja2!M54/Hoja2!$B$105</f>
        <v>3.07</v>
      </c>
      <c r="N54">
        <f>Hoja2!N54/Hoja2!$B$105</f>
        <v>1.98</v>
      </c>
      <c r="O54">
        <f>Hoja2!O54/Hoja2!$B$105</f>
        <v>1.52</v>
      </c>
      <c r="P54" s="16">
        <v>6.9</v>
      </c>
      <c r="Q54" s="16">
        <v>7.9</v>
      </c>
      <c r="R54" s="16">
        <v>11.2</v>
      </c>
      <c r="S54" s="16">
        <v>14</v>
      </c>
      <c r="T54" s="16">
        <v>18.5</v>
      </c>
      <c r="U54" s="16">
        <v>23.4</v>
      </c>
      <c r="V54" s="16">
        <v>25.6</v>
      </c>
      <c r="W54" s="16">
        <v>25.3</v>
      </c>
      <c r="X54" s="16">
        <v>21.1</v>
      </c>
      <c r="Y54" s="16">
        <v>16.899999999999999</v>
      </c>
      <c r="Z54" s="16">
        <v>10.7</v>
      </c>
      <c r="AA54" s="16">
        <v>7.1</v>
      </c>
    </row>
    <row r="55" spans="1:27">
      <c r="A55" s="10" t="s">
        <v>153</v>
      </c>
      <c r="B55" s="12"/>
      <c r="C55" s="12"/>
    </row>
    <row r="56" spans="1:27">
      <c r="A56" s="3" t="s">
        <v>314</v>
      </c>
      <c r="B56" s="12">
        <f>4+(53/60)+(42/3600)</f>
        <v>4.8949999999999996</v>
      </c>
      <c r="C56" s="12">
        <f>52+(22/60)+(12/3600)</f>
        <v>52.37</v>
      </c>
      <c r="D56">
        <f>Hoja2!D56/Hoja2!$B$105</f>
        <v>0.59699999999999998</v>
      </c>
      <c r="E56">
        <f>Hoja2!E56/Hoja2!$B$105</f>
        <v>1.37</v>
      </c>
      <c r="F56">
        <f>Hoja2!F56/Hoja2!$B$105</f>
        <v>2.2000000000000002</v>
      </c>
      <c r="G56">
        <f>Hoja2!G56/Hoja2!$B$105</f>
        <v>3.75</v>
      </c>
      <c r="H56">
        <f>Hoja2!H56/Hoja2!$B$105</f>
        <v>4.9000000000000004</v>
      </c>
      <c r="I56">
        <f>Hoja2!I56/Hoja2!$B$105</f>
        <v>4.9000000000000004</v>
      </c>
      <c r="J56">
        <f>Hoja2!J56/Hoja2!$B$105</f>
        <v>4.93</v>
      </c>
      <c r="K56">
        <f>Hoja2!K56/Hoja2!$B$105</f>
        <v>4.16</v>
      </c>
      <c r="L56">
        <f>Hoja2!L56/Hoja2!$B$105</f>
        <v>2.77</v>
      </c>
      <c r="M56">
        <f>Hoja2!M56/Hoja2!$B$105</f>
        <v>1.6</v>
      </c>
      <c r="N56">
        <f>Hoja2!N56/Hoja2!$B$105</f>
        <v>0.8</v>
      </c>
      <c r="O56">
        <f>Hoja2!O56/Hoja2!$B$105</f>
        <v>0.44900000000000001</v>
      </c>
      <c r="P56" s="16">
        <v>3.3</v>
      </c>
      <c r="Q56" s="16">
        <v>3.2</v>
      </c>
      <c r="R56" s="16">
        <v>5.8</v>
      </c>
      <c r="S56" s="16">
        <v>9.4</v>
      </c>
      <c r="T56" s="16">
        <v>12.7</v>
      </c>
      <c r="U56" s="16">
        <v>15.5</v>
      </c>
      <c r="V56" s="16">
        <v>17.399999999999999</v>
      </c>
      <c r="W56" s="16">
        <v>17.2</v>
      </c>
      <c r="X56" s="16">
        <v>14.8</v>
      </c>
      <c r="Y56" s="16">
        <v>11.2</v>
      </c>
      <c r="Z56" s="16">
        <v>7.5</v>
      </c>
      <c r="AA56" s="16">
        <v>4</v>
      </c>
    </row>
    <row r="57" spans="1:27">
      <c r="A57" s="3" t="s">
        <v>315</v>
      </c>
      <c r="B57" s="12">
        <f>23+(43/60)+(45/3600)</f>
        <v>23.729166666666664</v>
      </c>
      <c r="C57" s="12">
        <f>37+(59/60)+(1/3600)</f>
        <v>37.983611111111109</v>
      </c>
      <c r="D57">
        <f>Hoja2!D57/Hoja2!$B$105</f>
        <v>2.06</v>
      </c>
      <c r="E57">
        <f>Hoja2!E57/Hoja2!$B$105</f>
        <v>2.64</v>
      </c>
      <c r="F57">
        <f>Hoja2!F57/Hoja2!$B$105</f>
        <v>3.87</v>
      </c>
      <c r="G57">
        <f>Hoja2!G57/Hoja2!$B$105</f>
        <v>5.24</v>
      </c>
      <c r="H57">
        <f>Hoja2!H57/Hoja2!$B$105</f>
        <v>6.24</v>
      </c>
      <c r="I57">
        <f>Hoja2!I57/Hoja2!$B$105</f>
        <v>7.04</v>
      </c>
      <c r="J57">
        <f>Hoja2!J57/Hoja2!$B$105</f>
        <v>6.95</v>
      </c>
      <c r="K57">
        <f>Hoja2!K57/Hoja2!$B$105</f>
        <v>6.23</v>
      </c>
      <c r="L57">
        <f>Hoja2!L57/Hoja2!$B$105</f>
        <v>5.1100000000000003</v>
      </c>
      <c r="M57">
        <f>Hoja2!M57/Hoja2!$B$105</f>
        <v>3.42</v>
      </c>
      <c r="N57">
        <f>Hoja2!N57/Hoja2!$B$105</f>
        <v>2.17</v>
      </c>
      <c r="O57">
        <f>Hoja2!O57/Hoja2!$B$105</f>
        <v>1.76</v>
      </c>
      <c r="P57" s="16">
        <v>10</v>
      </c>
      <c r="Q57" s="16">
        <v>10.3</v>
      </c>
      <c r="R57" s="16">
        <v>12.2</v>
      </c>
      <c r="S57" s="16">
        <v>14.9</v>
      </c>
      <c r="T57" s="16">
        <v>19.100000000000001</v>
      </c>
      <c r="U57" s="16">
        <v>23.5</v>
      </c>
      <c r="V57" s="16">
        <v>26.6</v>
      </c>
      <c r="W57" s="16">
        <v>27</v>
      </c>
      <c r="X57" s="16">
        <v>23.3</v>
      </c>
      <c r="Y57" s="16">
        <v>19.2</v>
      </c>
      <c r="Z57" s="16">
        <v>15.6</v>
      </c>
      <c r="AA57" s="16">
        <v>11.9</v>
      </c>
    </row>
    <row r="58" spans="1:27">
      <c r="A58" s="3" t="s">
        <v>335</v>
      </c>
      <c r="B58" s="12">
        <v>20.466999999999999</v>
      </c>
      <c r="C58" s="12">
        <v>44.817</v>
      </c>
      <c r="D58">
        <v>1.25</v>
      </c>
      <c r="E58">
        <v>2</v>
      </c>
      <c r="F58">
        <v>3.17</v>
      </c>
      <c r="G58">
        <v>4.3600000000000003</v>
      </c>
      <c r="H58">
        <v>5.52</v>
      </c>
      <c r="I58">
        <v>5.98</v>
      </c>
      <c r="J58">
        <v>6.29</v>
      </c>
      <c r="K58">
        <v>5.55</v>
      </c>
      <c r="L58">
        <v>4.13</v>
      </c>
      <c r="M58">
        <v>2.71</v>
      </c>
      <c r="N58">
        <v>1.49</v>
      </c>
      <c r="O58">
        <v>1.06</v>
      </c>
      <c r="P58" s="16">
        <v>0.5</v>
      </c>
      <c r="Q58" s="16">
        <v>1.3</v>
      </c>
      <c r="R58" s="16">
        <v>7.1</v>
      </c>
      <c r="S58" s="16">
        <v>12.8</v>
      </c>
      <c r="T58" s="16">
        <v>17.7</v>
      </c>
      <c r="U58" s="16">
        <v>21.3</v>
      </c>
      <c r="V58" s="16">
        <v>23.4</v>
      </c>
      <c r="W58" s="16">
        <v>23.1</v>
      </c>
      <c r="X58" s="16">
        <v>17.8</v>
      </c>
      <c r="Y58" s="16">
        <v>13</v>
      </c>
      <c r="Z58" s="16">
        <v>7.9</v>
      </c>
      <c r="AA58" s="16">
        <v>2.1</v>
      </c>
    </row>
    <row r="59" spans="1:27">
      <c r="A59" s="3" t="s">
        <v>316</v>
      </c>
      <c r="B59" s="12">
        <f>13+(24/60)+(21/3600)</f>
        <v>13.405833333333334</v>
      </c>
      <c r="C59" s="12">
        <f>52+(31/60)+(9/3600)</f>
        <v>52.519166666666663</v>
      </c>
      <c r="D59">
        <f>Hoja2!D58/Hoja2!$B$105</f>
        <v>0.63</v>
      </c>
      <c r="E59">
        <f>Hoja2!E58/Hoja2!$B$105</f>
        <v>1.34</v>
      </c>
      <c r="F59">
        <f>Hoja2!F58/Hoja2!$B$105</f>
        <v>2.2200000000000002</v>
      </c>
      <c r="G59">
        <f>Hoja2!G58/Hoja2!$B$105</f>
        <v>3.66</v>
      </c>
      <c r="H59">
        <f>Hoja2!H58/Hoja2!$B$105</f>
        <v>5.03</v>
      </c>
      <c r="I59">
        <f>Hoja2!I58/Hoja2!$B$105</f>
        <v>4.84</v>
      </c>
      <c r="J59">
        <f>Hoja2!J58/Hoja2!$B$105</f>
        <v>5.01</v>
      </c>
      <c r="K59">
        <f>Hoja2!K58/Hoja2!$B$105</f>
        <v>4.3</v>
      </c>
      <c r="L59">
        <f>Hoja2!L58/Hoja2!$B$105</f>
        <v>2.8</v>
      </c>
      <c r="M59">
        <f>Hoja2!M58/Hoja2!$B$105</f>
        <v>1.67</v>
      </c>
      <c r="N59">
        <f>Hoja2!N58/Hoja2!$B$105</f>
        <v>0.79900000000000004</v>
      </c>
      <c r="O59">
        <f>Hoja2!O58/Hoja2!$B$105</f>
        <v>0.45400000000000001</v>
      </c>
      <c r="P59" s="16">
        <v>0.1</v>
      </c>
      <c r="Q59" s="16">
        <v>0.8</v>
      </c>
      <c r="R59" s="16">
        <v>3.8</v>
      </c>
      <c r="S59" s="16">
        <v>9.4</v>
      </c>
      <c r="T59" s="16">
        <v>14.2</v>
      </c>
      <c r="U59" s="16">
        <v>17.3</v>
      </c>
      <c r="V59" s="16">
        <v>19.5</v>
      </c>
      <c r="W59" s="16">
        <v>18.8</v>
      </c>
      <c r="X59" s="16">
        <v>14.5</v>
      </c>
      <c r="Y59" s="16">
        <v>9.9</v>
      </c>
      <c r="Z59" s="16">
        <v>5.4</v>
      </c>
      <c r="AA59" s="16">
        <v>1</v>
      </c>
    </row>
    <row r="60" spans="1:27">
      <c r="A60" s="3" t="s">
        <v>336</v>
      </c>
      <c r="B60" s="12">
        <v>7.4450000000000003</v>
      </c>
      <c r="C60" s="12">
        <v>46.948</v>
      </c>
      <c r="D60">
        <v>1.0900000000000001</v>
      </c>
      <c r="E60">
        <v>1.71</v>
      </c>
      <c r="F60">
        <v>3</v>
      </c>
      <c r="G60">
        <v>4.0999999999999996</v>
      </c>
      <c r="H60">
        <v>4.75</v>
      </c>
      <c r="I60">
        <v>5.51</v>
      </c>
      <c r="J60">
        <v>5.67</v>
      </c>
      <c r="K60">
        <v>4.82</v>
      </c>
      <c r="L60">
        <v>3.54</v>
      </c>
      <c r="M60">
        <v>2.2000000000000002</v>
      </c>
      <c r="N60">
        <v>1.27</v>
      </c>
      <c r="O60">
        <v>0.92300000000000004</v>
      </c>
      <c r="P60" s="16">
        <v>0.9</v>
      </c>
      <c r="Q60" s="16">
        <v>0.8</v>
      </c>
      <c r="R60" s="16">
        <v>4.8</v>
      </c>
      <c r="S60" s="16">
        <v>8.9</v>
      </c>
      <c r="T60" s="16">
        <v>13.4</v>
      </c>
      <c r="U60" s="16">
        <v>16.899999999999999</v>
      </c>
      <c r="V60" s="16">
        <v>18.2</v>
      </c>
      <c r="W60" s="16">
        <v>18</v>
      </c>
      <c r="X60" s="16">
        <v>14.1</v>
      </c>
      <c r="Y60" s="16">
        <v>10.5</v>
      </c>
      <c r="Z60" s="16">
        <v>5</v>
      </c>
      <c r="AA60" s="16">
        <v>1.2</v>
      </c>
    </row>
    <row r="61" spans="1:27">
      <c r="A61" s="3" t="s">
        <v>317</v>
      </c>
      <c r="B61" s="12">
        <f>4+(21/60)+(6/3600)</f>
        <v>4.3516666666666666</v>
      </c>
      <c r="C61" s="12">
        <f>50+(51/60)+(1/3600)</f>
        <v>50.850277777777777</v>
      </c>
      <c r="D61">
        <f>Hoja2!D59/Hoja2!$B$105</f>
        <v>0.63500000000000001</v>
      </c>
      <c r="E61">
        <f>Hoja2!E59/Hoja2!$B$105</f>
        <v>1.38</v>
      </c>
      <c r="F61">
        <f>Hoja2!F59/Hoja2!$B$105</f>
        <v>2.15</v>
      </c>
      <c r="G61">
        <f>Hoja2!G59/Hoja2!$B$105</f>
        <v>3.51</v>
      </c>
      <c r="H61">
        <f>Hoja2!H59/Hoja2!$B$105</f>
        <v>4.5199999999999996</v>
      </c>
      <c r="I61">
        <f>Hoja2!I59/Hoja2!$B$105</f>
        <v>4.62</v>
      </c>
      <c r="J61">
        <f>Hoja2!J59/Hoja2!$B$105</f>
        <v>4.84</v>
      </c>
      <c r="K61">
        <f>Hoja2!K59/Hoja2!$B$105</f>
        <v>4.08</v>
      </c>
      <c r="L61">
        <f>Hoja2!L59/Hoja2!$B$105</f>
        <v>2.74</v>
      </c>
      <c r="M61">
        <f>Hoja2!M59/Hoja2!$B$105</f>
        <v>1.67</v>
      </c>
      <c r="N61">
        <f>Hoja2!N59/Hoja2!$B$105</f>
        <v>0.86399999999999999</v>
      </c>
      <c r="O61">
        <f>Hoja2!O59/Hoja2!$B$105</f>
        <v>0.49399999999999999</v>
      </c>
      <c r="P61" s="16">
        <v>3.2</v>
      </c>
      <c r="Q61" s="16">
        <v>3.7</v>
      </c>
      <c r="R61" s="16">
        <v>6.1</v>
      </c>
      <c r="S61" s="16">
        <v>9.8000000000000007</v>
      </c>
      <c r="T61" s="16">
        <v>13.4</v>
      </c>
      <c r="U61" s="16">
        <v>16.3</v>
      </c>
      <c r="V61" s="16">
        <v>18</v>
      </c>
      <c r="W61" s="16">
        <v>17.8</v>
      </c>
      <c r="X61" s="16">
        <v>15</v>
      </c>
      <c r="Y61" s="16">
        <v>11.6</v>
      </c>
      <c r="Z61" s="16">
        <v>7.5</v>
      </c>
      <c r="AA61" s="16">
        <v>3.8</v>
      </c>
    </row>
    <row r="62" spans="1:27">
      <c r="A62" s="3" t="s">
        <v>318</v>
      </c>
      <c r="B62" s="12">
        <f>26+(5/60)+(50/3600)</f>
        <v>26.097222222222221</v>
      </c>
      <c r="C62" s="12">
        <f>44+(26/60)+(15/3600)</f>
        <v>44.4375</v>
      </c>
      <c r="D62">
        <f>Hoja2!D60/Hoja2!$B$105</f>
        <v>1.33</v>
      </c>
      <c r="E62">
        <f>Hoja2!E60/Hoja2!$B$105</f>
        <v>2.04</v>
      </c>
      <c r="F62">
        <f>Hoja2!F60/Hoja2!$B$105</f>
        <v>3.15</v>
      </c>
      <c r="G62">
        <f>Hoja2!G60/Hoja2!$B$105</f>
        <v>4.5</v>
      </c>
      <c r="H62">
        <f>Hoja2!H60/Hoja2!$B$105</f>
        <v>5.66</v>
      </c>
      <c r="I62">
        <f>Hoja2!I60/Hoja2!$B$105</f>
        <v>6</v>
      </c>
      <c r="J62">
        <f>Hoja2!J60/Hoja2!$B$105</f>
        <v>6.11</v>
      </c>
      <c r="K62">
        <f>Hoja2!K60/Hoja2!$B$105</f>
        <v>5.55</v>
      </c>
      <c r="L62">
        <f>Hoja2!L60/Hoja2!$B$105</f>
        <v>4.2699999999999996</v>
      </c>
      <c r="M62">
        <f>Hoja2!M60/Hoja2!$B$105</f>
        <v>2.9</v>
      </c>
      <c r="N62">
        <f>Hoja2!N60/Hoja2!$B$105</f>
        <v>1.5</v>
      </c>
      <c r="O62">
        <f>Hoja2!O60/Hoja2!$B$105</f>
        <v>1.0900000000000001</v>
      </c>
      <c r="P62" s="16">
        <v>-1.6</v>
      </c>
      <c r="Q62" s="16">
        <v>0.1</v>
      </c>
      <c r="R62" s="16">
        <v>6</v>
      </c>
      <c r="S62" s="16">
        <v>12.1</v>
      </c>
      <c r="T62" s="16">
        <v>17.7</v>
      </c>
      <c r="U62" s="16">
        <v>21.5</v>
      </c>
      <c r="V62" s="16">
        <v>24</v>
      </c>
      <c r="W62" s="16">
        <v>23.7</v>
      </c>
      <c r="X62" s="16">
        <v>18.100000000000001</v>
      </c>
      <c r="Y62" s="16">
        <v>12.2</v>
      </c>
      <c r="Z62" s="16">
        <v>6.9</v>
      </c>
      <c r="AA62" s="16">
        <v>0.5</v>
      </c>
    </row>
    <row r="63" spans="1:27">
      <c r="A63" s="3" t="s">
        <v>319</v>
      </c>
      <c r="B63" s="12">
        <f>19+(2/60)+(26/3600)</f>
        <v>19.040555555555557</v>
      </c>
      <c r="C63" s="12">
        <f>47+(29/60)+(54/3600)</f>
        <v>47.498333333333335</v>
      </c>
      <c r="D63">
        <f>Hoja2!D61/Hoja2!$B$105</f>
        <v>0.92200000000000004</v>
      </c>
      <c r="E63">
        <f>Hoja2!E61/Hoja2!$B$105</f>
        <v>1.61</v>
      </c>
      <c r="F63">
        <f>Hoja2!F61/Hoja2!$B$105</f>
        <v>2.78</v>
      </c>
      <c r="G63">
        <f>Hoja2!G61/Hoja2!$B$105</f>
        <v>4.2300000000000004</v>
      </c>
      <c r="H63">
        <f>Hoja2!H61/Hoja2!$B$105</f>
        <v>5.31</v>
      </c>
      <c r="I63">
        <f>Hoja2!I61/Hoja2!$B$105</f>
        <v>5.8</v>
      </c>
      <c r="J63">
        <f>Hoja2!J61/Hoja2!$B$105</f>
        <v>6.06</v>
      </c>
      <c r="K63">
        <f>Hoja2!K61/Hoja2!$B$105</f>
        <v>5.01</v>
      </c>
      <c r="L63">
        <f>Hoja2!L61/Hoja2!$B$105</f>
        <v>3.62</v>
      </c>
      <c r="M63">
        <f>Hoja2!M61/Hoja2!$B$105</f>
        <v>2.2200000000000002</v>
      </c>
      <c r="N63">
        <f>Hoja2!N61/Hoja2!$B$105</f>
        <v>1.1399999999999999</v>
      </c>
      <c r="O63">
        <f>Hoja2!O61/Hoja2!$B$105</f>
        <v>0.67200000000000004</v>
      </c>
      <c r="P63" s="16">
        <v>-1.1000000000000001</v>
      </c>
      <c r="Q63" s="16">
        <v>0.5</v>
      </c>
      <c r="R63" s="16">
        <v>5.3</v>
      </c>
      <c r="S63" s="16">
        <v>11.6</v>
      </c>
      <c r="T63" s="16">
        <v>16.8</v>
      </c>
      <c r="U63" s="16">
        <v>20.100000000000001</v>
      </c>
      <c r="V63" s="16">
        <v>22.1</v>
      </c>
      <c r="W63" s="16">
        <v>21.7</v>
      </c>
      <c r="X63" s="16">
        <v>16.3</v>
      </c>
      <c r="Y63" s="16">
        <v>11.1</v>
      </c>
      <c r="Z63" s="16">
        <v>5.9</v>
      </c>
      <c r="AA63" s="16">
        <v>0</v>
      </c>
    </row>
    <row r="64" spans="1:27">
      <c r="A64" s="3" t="s">
        <v>333</v>
      </c>
      <c r="B64" s="12">
        <v>12.568</v>
      </c>
      <c r="C64" s="12">
        <v>55.676000000000002</v>
      </c>
      <c r="D64">
        <v>0.45300000000000001</v>
      </c>
      <c r="E64">
        <v>1.07</v>
      </c>
      <c r="F64">
        <v>2.02</v>
      </c>
      <c r="G64">
        <v>3.75</v>
      </c>
      <c r="H64">
        <v>5.13</v>
      </c>
      <c r="I64">
        <v>5.14</v>
      </c>
      <c r="J64">
        <v>5.2</v>
      </c>
      <c r="K64">
        <v>4.1500000000000004</v>
      </c>
      <c r="L64">
        <v>2.65</v>
      </c>
      <c r="M64">
        <v>1.41</v>
      </c>
      <c r="N64">
        <v>0.63900000000000001</v>
      </c>
      <c r="O64">
        <v>0.32300000000000001</v>
      </c>
      <c r="P64" s="16">
        <v>1.2</v>
      </c>
      <c r="Q64" s="16">
        <v>0.9</v>
      </c>
      <c r="R64" s="16">
        <v>2.7</v>
      </c>
      <c r="S64" s="16">
        <v>6.7</v>
      </c>
      <c r="T64" s="16">
        <v>11.4</v>
      </c>
      <c r="U64" s="16">
        <v>14.7</v>
      </c>
      <c r="V64" s="16">
        <v>17.399999999999999</v>
      </c>
      <c r="W64" s="16">
        <v>17.3</v>
      </c>
      <c r="X64" s="16">
        <v>14.3</v>
      </c>
      <c r="Y64" s="16">
        <v>10.3</v>
      </c>
      <c r="Z64" s="16">
        <v>6.5</v>
      </c>
      <c r="AA64" s="16">
        <v>2.8</v>
      </c>
    </row>
    <row r="65" spans="1:27">
      <c r="A65" s="3" t="s">
        <v>334</v>
      </c>
      <c r="B65" s="12">
        <v>-6.26</v>
      </c>
      <c r="C65" s="12">
        <v>53.35</v>
      </c>
      <c r="D65">
        <v>0.64</v>
      </c>
      <c r="E65">
        <v>1.18</v>
      </c>
      <c r="F65">
        <v>2.23</v>
      </c>
      <c r="G65">
        <v>3.62</v>
      </c>
      <c r="H65">
        <v>4.7300000000000004</v>
      </c>
      <c r="I65">
        <v>4.78</v>
      </c>
      <c r="J65">
        <v>4.7699999999999996</v>
      </c>
      <c r="K65">
        <v>3.69</v>
      </c>
      <c r="L65">
        <v>2.76</v>
      </c>
      <c r="M65">
        <v>1.58</v>
      </c>
      <c r="N65">
        <v>0.79700000000000004</v>
      </c>
      <c r="O65">
        <v>0.46500000000000002</v>
      </c>
      <c r="P65" s="16">
        <v>6.3</v>
      </c>
      <c r="Q65" s="16">
        <v>6.3</v>
      </c>
      <c r="R65" s="16">
        <v>6.9</v>
      </c>
      <c r="S65" s="16">
        <v>8.8000000000000007</v>
      </c>
      <c r="T65" s="16">
        <v>11.1</v>
      </c>
      <c r="U65" s="16">
        <v>13.7</v>
      </c>
      <c r="V65" s="16">
        <v>15.5</v>
      </c>
      <c r="W65" s="16">
        <v>15.4</v>
      </c>
      <c r="X65" s="16">
        <v>14.2</v>
      </c>
      <c r="Y65" s="16">
        <v>11.6</v>
      </c>
      <c r="Z65" s="16">
        <v>8.5</v>
      </c>
      <c r="AA65" s="16">
        <v>6.4</v>
      </c>
    </row>
    <row r="66" spans="1:27">
      <c r="A66" s="3" t="s">
        <v>320</v>
      </c>
      <c r="B66" s="12">
        <f>18+(3/60)+(53/3600)</f>
        <v>18.064722222222223</v>
      </c>
      <c r="C66" s="12">
        <f>59+(19/60)+(44/3600)</f>
        <v>59.328888888888891</v>
      </c>
      <c r="D66">
        <f>Hoja2!D62/Hoja2!$B$105</f>
        <v>0.29899999999999999</v>
      </c>
      <c r="E66">
        <f>Hoja2!E62/Hoja2!$B$105</f>
        <v>0.90700000000000003</v>
      </c>
      <c r="F66">
        <f>Hoja2!F62/Hoja2!$B$105</f>
        <v>1.98</v>
      </c>
      <c r="G66">
        <f>Hoja2!G62/Hoja2!$B$105</f>
        <v>3.59</v>
      </c>
      <c r="H66">
        <f>Hoja2!H62/Hoja2!$B$105</f>
        <v>5.3</v>
      </c>
      <c r="I66">
        <f>Hoja2!I62/Hoja2!$B$105</f>
        <v>5.36</v>
      </c>
      <c r="J66">
        <f>Hoja2!J62/Hoja2!$B$105</f>
        <v>5.2</v>
      </c>
      <c r="K66">
        <f>Hoja2!K62/Hoja2!$B$105</f>
        <v>3.87</v>
      </c>
      <c r="L66">
        <f>Hoja2!L62/Hoja2!$B$105</f>
        <v>2.4500000000000002</v>
      </c>
      <c r="M66">
        <f>Hoja2!M62/Hoja2!$B$105</f>
        <v>1.1599999999999999</v>
      </c>
      <c r="N66">
        <f>Hoja2!N62/Hoja2!$B$105</f>
        <v>0.44500000000000001</v>
      </c>
      <c r="O66">
        <f>Hoja2!O62/Hoja2!$B$105</f>
        <v>0.17499999999999999</v>
      </c>
      <c r="P66" s="16">
        <v>-2.6</v>
      </c>
      <c r="Q66" s="16">
        <v>-2.9</v>
      </c>
      <c r="R66" s="16">
        <v>-0.8</v>
      </c>
      <c r="S66" s="16">
        <v>5</v>
      </c>
      <c r="T66" s="16">
        <v>10.4</v>
      </c>
      <c r="U66" s="16">
        <v>14.4</v>
      </c>
      <c r="V66" s="16">
        <v>17.7</v>
      </c>
      <c r="W66" s="16">
        <v>16.5</v>
      </c>
      <c r="X66" s="16">
        <v>12.3</v>
      </c>
      <c r="Y66" s="16">
        <v>7.1</v>
      </c>
      <c r="Z66" s="16">
        <v>3.1</v>
      </c>
      <c r="AA66" s="16">
        <v>-0.8</v>
      </c>
    </row>
    <row r="67" spans="1:27">
      <c r="A67" s="3" t="s">
        <v>321</v>
      </c>
      <c r="B67" s="12">
        <f>24+(56/60)+(36/3600)</f>
        <v>24.943333333333335</v>
      </c>
      <c r="C67" s="12">
        <f>60+(9/60)+(59/3600)</f>
        <v>60.166388888888889</v>
      </c>
      <c r="D67">
        <f>Hoja2!D63/Hoja2!$B$105</f>
        <v>0.25700000000000001</v>
      </c>
      <c r="E67">
        <f>Hoja2!E63/Hoja2!$B$105</f>
        <v>0.91700000000000004</v>
      </c>
      <c r="F67">
        <f>Hoja2!F63/Hoja2!$B$105</f>
        <v>2.0099999999999998</v>
      </c>
      <c r="G67">
        <f>Hoja2!G63/Hoja2!$B$105</f>
        <v>3.71</v>
      </c>
      <c r="H67">
        <f>Hoja2!H63/Hoja2!$B$105</f>
        <v>5.19</v>
      </c>
      <c r="I67">
        <f>Hoja2!I63/Hoja2!$B$105</f>
        <v>5.62</v>
      </c>
      <c r="J67">
        <f>Hoja2!J63/Hoja2!$B$105</f>
        <v>5.46</v>
      </c>
      <c r="K67">
        <f>Hoja2!K63/Hoja2!$B$105</f>
        <v>3.83</v>
      </c>
      <c r="L67">
        <f>Hoja2!L63/Hoja2!$B$105</f>
        <v>2.19</v>
      </c>
      <c r="M67">
        <f>Hoja2!M63/Hoja2!$B$105</f>
        <v>0.99299999999999999</v>
      </c>
      <c r="N67">
        <f>Hoja2!N63/Hoja2!$B$105</f>
        <v>0.32900000000000001</v>
      </c>
      <c r="O67">
        <f>Hoja2!O63/Hoja2!$B$105</f>
        <v>0.14399999999999999</v>
      </c>
      <c r="P67" s="16">
        <v>-3</v>
      </c>
      <c r="Q67" s="16">
        <v>-4.9000000000000004</v>
      </c>
      <c r="R67" s="16">
        <v>-2.5</v>
      </c>
      <c r="S67" s="16">
        <v>2.6</v>
      </c>
      <c r="T67" s="16">
        <v>7.7</v>
      </c>
      <c r="U67" s="16">
        <v>13</v>
      </c>
      <c r="V67" s="16">
        <v>17.600000000000001</v>
      </c>
      <c r="W67" s="16">
        <v>16.899999999999999</v>
      </c>
      <c r="X67" s="16">
        <v>13.1</v>
      </c>
      <c r="Y67" s="16">
        <v>7.8</v>
      </c>
      <c r="Z67" s="16">
        <v>3.6</v>
      </c>
      <c r="AA67" s="16">
        <v>0.1</v>
      </c>
    </row>
    <row r="68" spans="1:27">
      <c r="A68" s="3" t="s">
        <v>337</v>
      </c>
      <c r="B68" s="12">
        <v>30.523</v>
      </c>
      <c r="C68" s="12">
        <v>50.45</v>
      </c>
      <c r="D68">
        <v>0.86299999999999999</v>
      </c>
      <c r="E68">
        <v>1.67</v>
      </c>
      <c r="F68">
        <v>2.86</v>
      </c>
      <c r="G68">
        <v>4.0599999999999996</v>
      </c>
      <c r="H68">
        <v>5.81</v>
      </c>
      <c r="I68">
        <v>5.76</v>
      </c>
      <c r="J68">
        <v>5.64</v>
      </c>
      <c r="K68">
        <v>4.9800000000000004</v>
      </c>
      <c r="L68">
        <v>3.35</v>
      </c>
      <c r="M68">
        <v>2.09</v>
      </c>
      <c r="N68">
        <v>0.97</v>
      </c>
      <c r="O68">
        <v>0.65700000000000003</v>
      </c>
      <c r="P68" s="16">
        <v>-3.8</v>
      </c>
      <c r="Q68" s="16">
        <v>-3.7</v>
      </c>
      <c r="R68" s="16">
        <v>1.2</v>
      </c>
      <c r="S68" s="16">
        <v>9.4</v>
      </c>
      <c r="T68" s="16">
        <v>15.9</v>
      </c>
      <c r="U68" s="16">
        <v>19.3</v>
      </c>
      <c r="V68" s="16">
        <v>22</v>
      </c>
      <c r="W68" s="16">
        <v>20.6</v>
      </c>
      <c r="X68" s="16">
        <v>14.6</v>
      </c>
      <c r="Y68" s="16">
        <v>8.8000000000000007</v>
      </c>
      <c r="Z68" s="16">
        <v>3.8</v>
      </c>
      <c r="AA68" s="16">
        <v>-1.9</v>
      </c>
    </row>
    <row r="69" spans="1:27">
      <c r="A69" s="3" t="s">
        <v>322</v>
      </c>
      <c r="B69" s="12">
        <f>-(9+(8/60)+(23/3600))</f>
        <v>-9.1397222222222219</v>
      </c>
      <c r="C69" s="12">
        <f>38+(43/60)+(25/3600)</f>
        <v>38.723611111111111</v>
      </c>
      <c r="D69">
        <f>Hoja2!D64/Hoja2!$B$105</f>
        <v>2.14</v>
      </c>
      <c r="E69">
        <f>Hoja2!E64/Hoja2!$B$105</f>
        <v>2.72</v>
      </c>
      <c r="F69">
        <f>Hoja2!F64/Hoja2!$B$105</f>
        <v>4.3600000000000003</v>
      </c>
      <c r="G69">
        <f>Hoja2!G64/Hoja2!$B$105</f>
        <v>5.07</v>
      </c>
      <c r="H69">
        <f>Hoja2!H64/Hoja2!$B$105</f>
        <v>6.14</v>
      </c>
      <c r="I69">
        <f>Hoja2!I64/Hoja2!$B$105</f>
        <v>6.9</v>
      </c>
      <c r="J69">
        <f>Hoja2!J64/Hoja2!$B$105</f>
        <v>7.05</v>
      </c>
      <c r="K69">
        <f>Hoja2!K64/Hoja2!$B$105</f>
        <v>6.42</v>
      </c>
      <c r="L69">
        <f>Hoja2!L64/Hoja2!$B$105</f>
        <v>5.07</v>
      </c>
      <c r="M69">
        <f>Hoja2!M64/Hoja2!$B$105</f>
        <v>3.58</v>
      </c>
      <c r="N69">
        <f>Hoja2!N64/Hoja2!$B$105</f>
        <v>2.27</v>
      </c>
      <c r="O69">
        <f>Hoja2!O64/Hoja2!$B$105</f>
        <v>1.9</v>
      </c>
      <c r="P69" s="16">
        <v>10.5</v>
      </c>
      <c r="Q69" s="16">
        <v>11</v>
      </c>
      <c r="R69" s="16">
        <v>13</v>
      </c>
      <c r="S69" s="16">
        <v>14.8</v>
      </c>
      <c r="T69" s="16">
        <v>17.2</v>
      </c>
      <c r="U69" s="16">
        <v>20.6</v>
      </c>
      <c r="V69" s="16">
        <v>22.4</v>
      </c>
      <c r="W69" s="16">
        <v>22.9</v>
      </c>
      <c r="X69" s="16">
        <v>21.1</v>
      </c>
      <c r="Y69" s="16">
        <v>17.7</v>
      </c>
      <c r="Z69" s="16">
        <v>13.4</v>
      </c>
      <c r="AA69" s="16">
        <v>11.1</v>
      </c>
    </row>
    <row r="70" spans="1:27">
      <c r="A70" s="3" t="s">
        <v>323</v>
      </c>
      <c r="B70" s="12">
        <f>-(0+(7/60)+(39/3600))</f>
        <v>-0.1275</v>
      </c>
      <c r="C70" s="12">
        <f>51+(30/60)+(26/3600)</f>
        <v>51.507222222222225</v>
      </c>
      <c r="D70">
        <f>Hoja2!D65/Hoja2!$B$105</f>
        <v>0.73599999999999999</v>
      </c>
      <c r="E70">
        <f>Hoja2!E65/Hoja2!$B$105</f>
        <v>1.35</v>
      </c>
      <c r="F70">
        <f>Hoja2!F65/Hoja2!$B$105</f>
        <v>2.21</v>
      </c>
      <c r="G70">
        <f>Hoja2!G65/Hoja2!$B$105</f>
        <v>3.65</v>
      </c>
      <c r="H70">
        <f>Hoja2!H65/Hoja2!$B$105</f>
        <v>4.6399999999999997</v>
      </c>
      <c r="I70">
        <f>Hoja2!I65/Hoja2!$B$105</f>
        <v>4.8</v>
      </c>
      <c r="J70">
        <f>Hoja2!J65/Hoja2!$B$105</f>
        <v>4.84</v>
      </c>
      <c r="K70">
        <f>Hoja2!K65/Hoja2!$B$105</f>
        <v>4.1500000000000004</v>
      </c>
      <c r="L70">
        <f>Hoja2!L65/Hoja2!$B$105</f>
        <v>2.79</v>
      </c>
      <c r="M70">
        <f>Hoja2!M65/Hoja2!$B$105</f>
        <v>1.7</v>
      </c>
      <c r="N70">
        <f>Hoja2!N65/Hoja2!$B$105</f>
        <v>0.89800000000000002</v>
      </c>
      <c r="O70">
        <f>Hoja2!O65/Hoja2!$B$105</f>
        <v>0.52400000000000002</v>
      </c>
      <c r="P70" s="16">
        <v>4.8</v>
      </c>
      <c r="Q70" s="16">
        <v>4.9000000000000004</v>
      </c>
      <c r="R70" s="16">
        <v>6.4</v>
      </c>
      <c r="S70" s="16">
        <v>9.3000000000000007</v>
      </c>
      <c r="T70" s="16">
        <v>12.4</v>
      </c>
      <c r="U70" s="16">
        <v>15.5</v>
      </c>
      <c r="V70" s="16">
        <v>17.2</v>
      </c>
      <c r="W70" s="16">
        <v>17.100000000000001</v>
      </c>
      <c r="X70" s="16">
        <v>14.8</v>
      </c>
      <c r="Y70" s="16">
        <v>11.8</v>
      </c>
      <c r="Z70" s="16">
        <v>7.8</v>
      </c>
      <c r="AA70" s="16">
        <v>5.0999999999999996</v>
      </c>
    </row>
    <row r="71" spans="1:27">
      <c r="A71" s="3" t="s">
        <v>324</v>
      </c>
      <c r="B71" s="12">
        <f>6+(7/60)+(46/3600)</f>
        <v>6.1294444444444443</v>
      </c>
      <c r="C71" s="12">
        <f>49+(48/60)+(54/3600)</f>
        <v>49.814999999999998</v>
      </c>
      <c r="D71">
        <f>Hoja2!D66/Hoja2!$B$105</f>
        <v>0.68</v>
      </c>
      <c r="E71">
        <f>Hoja2!E66/Hoja2!$B$105</f>
        <v>1.53</v>
      </c>
      <c r="F71">
        <f>Hoja2!F66/Hoja2!$B$105</f>
        <v>2.34</v>
      </c>
      <c r="G71">
        <f>Hoja2!G66/Hoja2!$B$105</f>
        <v>3.76</v>
      </c>
      <c r="H71">
        <f>Hoja2!H66/Hoja2!$B$105</f>
        <v>4.6900000000000004</v>
      </c>
      <c r="I71">
        <f>Hoja2!I66/Hoja2!$B$105</f>
        <v>4.91</v>
      </c>
      <c r="J71">
        <f>Hoja2!J66/Hoja2!$B$105</f>
        <v>5.29</v>
      </c>
      <c r="K71">
        <f>Hoja2!K66/Hoja2!$B$105</f>
        <v>4.34</v>
      </c>
      <c r="L71">
        <f>Hoja2!L66/Hoja2!$B$105</f>
        <v>3.03</v>
      </c>
      <c r="M71">
        <f>Hoja2!M66/Hoja2!$B$105</f>
        <v>1.77</v>
      </c>
      <c r="N71">
        <f>Hoja2!N66/Hoja2!$B$105</f>
        <v>0.94899999999999995</v>
      </c>
      <c r="O71">
        <f>Hoja2!O66/Hoja2!$B$105</f>
        <v>0.54500000000000004</v>
      </c>
      <c r="P71" s="16">
        <v>1.1000000000000001</v>
      </c>
      <c r="Q71" s="16">
        <v>1.7</v>
      </c>
      <c r="R71" s="16">
        <v>4.7</v>
      </c>
      <c r="S71" s="16">
        <v>8.8000000000000007</v>
      </c>
      <c r="T71" s="16">
        <v>13.1</v>
      </c>
      <c r="U71" s="16">
        <v>16.100000000000001</v>
      </c>
      <c r="V71" s="16">
        <v>17.600000000000001</v>
      </c>
      <c r="W71" s="16">
        <v>17.3</v>
      </c>
      <c r="X71" s="16">
        <v>13.7</v>
      </c>
      <c r="Y71" s="16">
        <v>10</v>
      </c>
      <c r="Z71" s="16">
        <v>5.5</v>
      </c>
      <c r="AA71" s="16">
        <v>1.9</v>
      </c>
    </row>
    <row r="72" spans="1:27">
      <c r="A72" s="20" t="s">
        <v>365</v>
      </c>
      <c r="B72" s="18">
        <f>37+36/60+55/3600</f>
        <v>37.615277777777777</v>
      </c>
      <c r="C72" s="18">
        <f>55+48/60+34/3600</f>
        <v>55.809444444444445</v>
      </c>
      <c r="D72" s="17">
        <v>0.75</v>
      </c>
      <c r="E72" s="17">
        <v>1.57</v>
      </c>
      <c r="F72" s="17">
        <v>2.84</v>
      </c>
      <c r="G72" s="17">
        <v>3.89</v>
      </c>
      <c r="H72" s="17">
        <v>5.1100000000000003</v>
      </c>
      <c r="I72" s="17">
        <v>5.21</v>
      </c>
      <c r="J72" s="17">
        <v>5.13</v>
      </c>
      <c r="K72" s="17">
        <v>4.3</v>
      </c>
      <c r="L72" s="17">
        <v>2.68</v>
      </c>
      <c r="M72" s="17">
        <v>1.52</v>
      </c>
      <c r="N72" s="17">
        <v>0.82</v>
      </c>
      <c r="O72" s="17">
        <v>0.5</v>
      </c>
      <c r="P72" s="19">
        <v>-8.8000000000000007</v>
      </c>
      <c r="Q72" s="19">
        <v>-9.1</v>
      </c>
      <c r="R72" s="19">
        <v>-4.2</v>
      </c>
      <c r="S72" s="19">
        <v>5.2</v>
      </c>
      <c r="T72" s="19">
        <v>12.6</v>
      </c>
      <c r="U72" s="19">
        <v>16.899999999999999</v>
      </c>
      <c r="V72" s="19">
        <v>19.100000000000001</v>
      </c>
      <c r="W72" s="19">
        <v>17.3</v>
      </c>
      <c r="X72" s="19">
        <v>11.6</v>
      </c>
      <c r="Y72" s="19">
        <v>4.8</v>
      </c>
      <c r="Z72" s="19">
        <v>-3.5</v>
      </c>
      <c r="AA72" s="19">
        <v>-8.4</v>
      </c>
    </row>
    <row r="73" spans="1:27">
      <c r="A73" s="3" t="s">
        <v>325</v>
      </c>
      <c r="B73" s="12">
        <f>10+(45/60)+(8/360)</f>
        <v>10.772222222222222</v>
      </c>
      <c r="C73" s="12">
        <f>59+(54/60)+(49/3600)</f>
        <v>59.913611111111109</v>
      </c>
      <c r="D73">
        <f>Hoja2!D67/Hoja2!$B$105</f>
        <v>0.25800000000000001</v>
      </c>
      <c r="E73">
        <f>Hoja2!E67/Hoja2!$B$105</f>
        <v>0.77200000000000002</v>
      </c>
      <c r="F73">
        <f>Hoja2!F67/Hoja2!$B$105</f>
        <v>1.71</v>
      </c>
      <c r="G73">
        <f>Hoja2!G67/Hoja2!$B$105</f>
        <v>3.19</v>
      </c>
      <c r="H73">
        <f>Hoja2!H67/Hoja2!$B$105</f>
        <v>4.55</v>
      </c>
      <c r="I73">
        <f>Hoja2!I67/Hoja2!$B$105</f>
        <v>5.17</v>
      </c>
      <c r="J73">
        <f>Hoja2!J67/Hoja2!$B$105</f>
        <v>4.75</v>
      </c>
      <c r="K73">
        <f>Hoja2!K67/Hoja2!$B$105</f>
        <v>3.5</v>
      </c>
      <c r="L73">
        <f>Hoja2!L67/Hoja2!$B$105</f>
        <v>2.21</v>
      </c>
      <c r="M73">
        <f>Hoja2!M67/Hoja2!$B$105</f>
        <v>1</v>
      </c>
      <c r="N73">
        <f>Hoja2!N67/Hoja2!$B$105</f>
        <v>0.37</v>
      </c>
      <c r="O73">
        <f>Hoja2!O67/Hoja2!$B$105</f>
        <v>0.17699999999999999</v>
      </c>
      <c r="P73" s="16">
        <v>-2.2000000000000002</v>
      </c>
      <c r="Q73" s="16">
        <v>-2.5</v>
      </c>
      <c r="R73" s="16">
        <v>1</v>
      </c>
      <c r="S73" s="16">
        <v>5.5</v>
      </c>
      <c r="T73" s="16">
        <v>11</v>
      </c>
      <c r="U73" s="16">
        <v>14.2</v>
      </c>
      <c r="V73" s="16">
        <v>16.7</v>
      </c>
      <c r="W73" s="16">
        <v>16.3</v>
      </c>
      <c r="X73" s="16">
        <v>12.3</v>
      </c>
      <c r="Y73" s="16">
        <v>7.2</v>
      </c>
      <c r="Z73" s="16">
        <v>2.8</v>
      </c>
      <c r="AA73" s="16">
        <v>-2.4</v>
      </c>
    </row>
    <row r="74" spans="1:27">
      <c r="A74" s="3" t="s">
        <v>326</v>
      </c>
      <c r="B74" s="12">
        <f>2+(21/60)+(7/3600)</f>
        <v>2.3519444444444444</v>
      </c>
      <c r="C74" s="12">
        <f>48+(51/60)+(23/3600)</f>
        <v>48.856388888888887</v>
      </c>
      <c r="D74">
        <f>Hoja2!D68/Hoja2!$B$105</f>
        <v>0.82899999999999996</v>
      </c>
      <c r="E74">
        <f>Hoja2!E68/Hoja2!$B$105</f>
        <v>1.55</v>
      </c>
      <c r="F74">
        <f>Hoja2!F68/Hoja2!$B$105</f>
        <v>2.66</v>
      </c>
      <c r="G74">
        <f>Hoja2!G68/Hoja2!$B$105</f>
        <v>4.03</v>
      </c>
      <c r="H74">
        <f>Hoja2!H68/Hoja2!$B$105</f>
        <v>4.7300000000000004</v>
      </c>
      <c r="I74">
        <f>Hoja2!I68/Hoja2!$B$105</f>
        <v>5.29</v>
      </c>
      <c r="J74">
        <f>Hoja2!J68/Hoja2!$B$105</f>
        <v>5.53</v>
      </c>
      <c r="K74">
        <f>Hoja2!K68/Hoja2!$B$105</f>
        <v>4.6900000000000004</v>
      </c>
      <c r="L74">
        <f>Hoja2!L68/Hoja2!$B$105</f>
        <v>3.34</v>
      </c>
      <c r="M74">
        <f>Hoja2!M68/Hoja2!$B$105</f>
        <v>2.04</v>
      </c>
      <c r="N74">
        <f>Hoja2!N68/Hoja2!$B$105</f>
        <v>1.1100000000000001</v>
      </c>
      <c r="O74">
        <f>Hoja2!O68/Hoja2!$B$105</f>
        <v>0.65800000000000003</v>
      </c>
      <c r="P74" s="16">
        <v>4</v>
      </c>
      <c r="Q74" s="16">
        <v>4.3</v>
      </c>
      <c r="R74" s="16">
        <v>7</v>
      </c>
      <c r="S74" s="16">
        <v>10.4</v>
      </c>
      <c r="T74" s="16">
        <v>14.2</v>
      </c>
      <c r="U74" s="16">
        <v>17.399999999999999</v>
      </c>
      <c r="V74" s="16">
        <v>19.100000000000001</v>
      </c>
      <c r="W74" s="16">
        <v>19.100000000000001</v>
      </c>
      <c r="X74" s="16">
        <v>15.9</v>
      </c>
      <c r="Y74" s="16">
        <v>12.4</v>
      </c>
      <c r="Z74" s="16">
        <v>7.6</v>
      </c>
      <c r="AA74" s="16">
        <v>4.3</v>
      </c>
    </row>
    <row r="75" spans="1:27">
      <c r="A75" s="3" t="s">
        <v>327</v>
      </c>
      <c r="B75" s="12">
        <f>14+(26/60)+(16/3600)</f>
        <v>14.437777777777779</v>
      </c>
      <c r="C75" s="12">
        <f>50+(4/60)+(31/3600)</f>
        <v>50.075277777777778</v>
      </c>
      <c r="D75">
        <f>Hoja2!D69/Hoja2!$B$105</f>
        <v>0.77</v>
      </c>
      <c r="E75">
        <f>Hoja2!E69/Hoja2!$B$105</f>
        <v>1.4</v>
      </c>
      <c r="F75">
        <f>Hoja2!F69/Hoja2!$B$105</f>
        <v>2.42</v>
      </c>
      <c r="G75">
        <f>Hoja2!G69/Hoja2!$B$105</f>
        <v>3.77</v>
      </c>
      <c r="H75">
        <f>Hoja2!H69/Hoja2!$B$105</f>
        <v>4.9000000000000004</v>
      </c>
      <c r="I75">
        <f>Hoja2!I69/Hoja2!$B$105</f>
        <v>4.96</v>
      </c>
      <c r="J75">
        <f>Hoja2!J69/Hoja2!$B$105</f>
        <v>5.1100000000000003</v>
      </c>
      <c r="K75">
        <f>Hoja2!K69/Hoja2!$B$105</f>
        <v>4.32</v>
      </c>
      <c r="L75">
        <f>Hoja2!L69/Hoja2!$B$105</f>
        <v>2.88</v>
      </c>
      <c r="M75">
        <f>Hoja2!M69/Hoja2!$B$105</f>
        <v>1.88</v>
      </c>
      <c r="N75">
        <f>Hoja2!N69/Hoja2!$B$105</f>
        <v>0.80400000000000005</v>
      </c>
      <c r="O75">
        <f>Hoja2!O69/Hoja2!$B$105</f>
        <v>0.54900000000000004</v>
      </c>
      <c r="P75" s="16">
        <v>-0.7</v>
      </c>
      <c r="Q75" s="16">
        <v>0.5</v>
      </c>
      <c r="R75" s="16">
        <v>4.2</v>
      </c>
      <c r="S75" s="16">
        <v>9.5</v>
      </c>
      <c r="T75" s="16">
        <v>14.2</v>
      </c>
      <c r="U75" s="16">
        <v>17.399999999999999</v>
      </c>
      <c r="V75" s="16">
        <v>19.2</v>
      </c>
      <c r="W75" s="16">
        <v>19</v>
      </c>
      <c r="X75" s="16">
        <v>14.3</v>
      </c>
      <c r="Y75" s="16">
        <v>9.5</v>
      </c>
      <c r="Z75" s="16">
        <v>4.5</v>
      </c>
      <c r="AA75" s="16">
        <v>0</v>
      </c>
    </row>
    <row r="76" spans="1:27">
      <c r="A76" s="3" t="s">
        <v>328</v>
      </c>
      <c r="B76" s="12">
        <f>24+(6/60)+(15/3600)</f>
        <v>24.104166666666668</v>
      </c>
      <c r="C76" s="12">
        <f>56+(56/60)+(46/3600)</f>
        <v>56.946111111111108</v>
      </c>
      <c r="D76">
        <f>Hoja2!D70/Hoja2!$B$105</f>
        <v>0.38700000000000001</v>
      </c>
      <c r="E76">
        <f>Hoja2!E70/Hoja2!$B$105</f>
        <v>1.07</v>
      </c>
      <c r="F76">
        <f>Hoja2!F70/Hoja2!$B$105</f>
        <v>2.17</v>
      </c>
      <c r="G76">
        <f>Hoja2!G70/Hoja2!$B$105</f>
        <v>3.79</v>
      </c>
      <c r="H76">
        <f>Hoja2!H70/Hoja2!$B$105</f>
        <v>5.38</v>
      </c>
      <c r="I76">
        <f>Hoja2!I70/Hoja2!$B$105</f>
        <v>5.69</v>
      </c>
      <c r="J76">
        <f>Hoja2!J70/Hoja2!$B$105</f>
        <v>5.41</v>
      </c>
      <c r="K76">
        <f>Hoja2!K70/Hoja2!$B$105</f>
        <v>4.18</v>
      </c>
      <c r="L76">
        <f>Hoja2!L70/Hoja2!$B$105</f>
        <v>2.59</v>
      </c>
      <c r="M76">
        <f>Hoja2!M70/Hoja2!$B$105</f>
        <v>1.32</v>
      </c>
      <c r="N76">
        <f>Hoja2!N70/Hoja2!$B$105</f>
        <v>0.49299999999999999</v>
      </c>
      <c r="O76">
        <f>Hoja2!O70/Hoja2!$B$105</f>
        <v>0.24</v>
      </c>
      <c r="P76" s="16">
        <v>-4.2</v>
      </c>
      <c r="Q76" s="16">
        <v>-4.4000000000000004</v>
      </c>
      <c r="R76" s="16">
        <v>-0.6</v>
      </c>
      <c r="S76" s="16">
        <v>6.5</v>
      </c>
      <c r="T76" s="16">
        <v>12.4</v>
      </c>
      <c r="U76" s="16">
        <v>15.9</v>
      </c>
      <c r="V76" s="16">
        <v>19.3</v>
      </c>
      <c r="W76" s="16">
        <v>17.600000000000001</v>
      </c>
      <c r="X76" s="16">
        <v>12.8</v>
      </c>
      <c r="Y76" s="16">
        <v>7.3</v>
      </c>
      <c r="Z76" s="16">
        <v>3.1</v>
      </c>
      <c r="AA76" s="16">
        <v>-1.6</v>
      </c>
    </row>
    <row r="77" spans="1:27">
      <c r="A77" s="3" t="s">
        <v>329</v>
      </c>
      <c r="B77" s="12">
        <f>12+(27/60)+(38/3600)</f>
        <v>12.460555555555555</v>
      </c>
      <c r="C77" s="12">
        <f>41+(54/60)+(5/3600)</f>
        <v>41.901388888888889</v>
      </c>
      <c r="D77">
        <f>Hoja2!D71/Hoja2!$B$105</f>
        <v>1.65</v>
      </c>
      <c r="E77">
        <f>Hoja2!E71/Hoja2!$B$105</f>
        <v>2.27</v>
      </c>
      <c r="F77">
        <f>Hoja2!F71/Hoja2!$B$105</f>
        <v>3.65</v>
      </c>
      <c r="G77">
        <f>Hoja2!G71/Hoja2!$B$105</f>
        <v>4.96</v>
      </c>
      <c r="H77">
        <f>Hoja2!H71/Hoja2!$B$105</f>
        <v>5.97</v>
      </c>
      <c r="I77">
        <f>Hoja2!I71/Hoja2!$B$105</f>
        <v>6.59</v>
      </c>
      <c r="J77">
        <f>Hoja2!J71/Hoja2!$B$105</f>
        <v>6.63</v>
      </c>
      <c r="K77">
        <f>Hoja2!K71/Hoja2!$B$105</f>
        <v>5.78</v>
      </c>
      <c r="L77">
        <f>Hoja2!L71/Hoja2!$B$105</f>
        <v>4.45</v>
      </c>
      <c r="M77">
        <f>Hoja2!M71/Hoja2!$B$105</f>
        <v>3.03</v>
      </c>
      <c r="N77">
        <f>Hoja2!N71/Hoja2!$B$105</f>
        <v>1.87</v>
      </c>
      <c r="O77">
        <f>Hoja2!O71/Hoja2!$B$105</f>
        <v>1.43</v>
      </c>
      <c r="P77" s="16">
        <v>7.7</v>
      </c>
      <c r="Q77" s="16">
        <v>7.7</v>
      </c>
      <c r="R77" s="16">
        <v>10.7</v>
      </c>
      <c r="S77" s="16">
        <v>13.9</v>
      </c>
      <c r="T77" s="16">
        <v>18.5</v>
      </c>
      <c r="U77" s="16">
        <v>22.4</v>
      </c>
      <c r="V77" s="16">
        <v>25.2</v>
      </c>
      <c r="W77" s="16">
        <v>25</v>
      </c>
      <c r="X77" s="16">
        <v>20.7</v>
      </c>
      <c r="Y77" s="16">
        <v>17.399999999999999</v>
      </c>
      <c r="Z77" s="16">
        <v>12.9</v>
      </c>
      <c r="AA77" s="16">
        <v>9.1</v>
      </c>
    </row>
    <row r="78" spans="1:27">
      <c r="A78" s="3" t="s">
        <v>330</v>
      </c>
      <c r="B78" s="12">
        <f>21+(0/60)+(44/3600)</f>
        <v>21.012222222222221</v>
      </c>
      <c r="C78" s="12">
        <f>52+(13/60)+(46/3600)</f>
        <v>52.229444444444447</v>
      </c>
      <c r="D78">
        <f>Hoja2!D72/Hoja2!$B$105</f>
        <v>0.60599999999999998</v>
      </c>
      <c r="E78">
        <f>Hoja2!E72/Hoja2!$B$105</f>
        <v>1.29</v>
      </c>
      <c r="F78">
        <f>Hoja2!F72/Hoja2!$B$105</f>
        <v>2.34</v>
      </c>
      <c r="G78">
        <f>Hoja2!G72/Hoja2!$B$105</f>
        <v>3.65</v>
      </c>
      <c r="H78">
        <f>Hoja2!H72/Hoja2!$B$105</f>
        <v>5.12</v>
      </c>
      <c r="I78">
        <f>Hoja2!I72/Hoja2!$B$105</f>
        <v>5.04</v>
      </c>
      <c r="J78">
        <f>Hoja2!J72/Hoja2!$B$105</f>
        <v>5.16</v>
      </c>
      <c r="K78">
        <f>Hoja2!K72/Hoja2!$B$105</f>
        <v>4.42</v>
      </c>
      <c r="L78">
        <f>Hoja2!L72/Hoja2!$B$105</f>
        <v>2.76</v>
      </c>
      <c r="M78">
        <f>Hoja2!M72/Hoja2!$B$105</f>
        <v>1.73</v>
      </c>
      <c r="N78">
        <f>Hoja2!N72/Hoja2!$B$105</f>
        <v>0.751</v>
      </c>
      <c r="O78">
        <f>Hoja2!O72/Hoja2!$B$105</f>
        <v>0.432</v>
      </c>
      <c r="P78" s="16">
        <v>-2.1</v>
      </c>
      <c r="Q78" s="16">
        <v>-1.3</v>
      </c>
      <c r="R78" s="16">
        <v>2.7</v>
      </c>
      <c r="S78" s="16">
        <v>9</v>
      </c>
      <c r="T78" s="16">
        <v>14.4</v>
      </c>
      <c r="U78" s="16">
        <v>17.399999999999999</v>
      </c>
      <c r="V78" s="16">
        <v>20</v>
      </c>
      <c r="W78" s="16">
        <v>19</v>
      </c>
      <c r="X78" s="16">
        <v>14</v>
      </c>
      <c r="Y78" s="16">
        <v>9</v>
      </c>
      <c r="Z78" s="16">
        <v>4.7</v>
      </c>
      <c r="AA78" s="16">
        <v>-0.6</v>
      </c>
    </row>
    <row r="79" spans="1:27">
      <c r="A79" s="3" t="s">
        <v>331</v>
      </c>
      <c r="B79" s="12">
        <f>16+(22/60)+(25/3600)</f>
        <v>16.37361111111111</v>
      </c>
      <c r="C79" s="12">
        <f>48+(12/60)+(29/3600)</f>
        <v>48.208055555555561</v>
      </c>
      <c r="D79">
        <f>Hoja2!D73/Hoja2!$B$105</f>
        <v>0.92400000000000004</v>
      </c>
      <c r="E79">
        <f>Hoja2!E73/Hoja2!$B$105</f>
        <v>1.6</v>
      </c>
      <c r="F79">
        <f>Hoja2!F73/Hoja2!$B$105</f>
        <v>2.72</v>
      </c>
      <c r="G79">
        <f>Hoja2!G73/Hoja2!$B$105</f>
        <v>4.08</v>
      </c>
      <c r="H79">
        <f>Hoja2!H73/Hoja2!$B$105</f>
        <v>5.12</v>
      </c>
      <c r="I79">
        <f>Hoja2!I73/Hoja2!$B$105</f>
        <v>5.5</v>
      </c>
      <c r="J79">
        <f>Hoja2!J73/Hoja2!$B$105</f>
        <v>5.7</v>
      </c>
      <c r="K79">
        <f>Hoja2!K73/Hoja2!$B$105</f>
        <v>4.71</v>
      </c>
      <c r="L79">
        <f>Hoja2!L73/Hoja2!$B$105</f>
        <v>3.39</v>
      </c>
      <c r="M79">
        <f>Hoja2!M73/Hoja2!$B$105</f>
        <v>2.11</v>
      </c>
      <c r="N79">
        <f>Hoja2!N73/Hoja2!$B$105</f>
        <v>1.05</v>
      </c>
      <c r="O79">
        <f>Hoja2!O73/Hoja2!$B$105</f>
        <v>0.69099999999999995</v>
      </c>
      <c r="P79" s="16">
        <v>-0.3</v>
      </c>
      <c r="Q79" s="16">
        <v>0.9</v>
      </c>
      <c r="R79" s="16">
        <v>5.4</v>
      </c>
      <c r="S79" s="16">
        <v>11</v>
      </c>
      <c r="T79" s="16">
        <v>15.8</v>
      </c>
      <c r="U79" s="16">
        <v>18.899999999999999</v>
      </c>
      <c r="V79" s="16">
        <v>21.1</v>
      </c>
      <c r="W79" s="16">
        <v>20.6</v>
      </c>
      <c r="X79" s="16">
        <v>15.7</v>
      </c>
      <c r="Y79" s="16">
        <v>10.7</v>
      </c>
      <c r="Z79" s="16">
        <v>5.6</v>
      </c>
      <c r="AA79" s="16">
        <v>0.6</v>
      </c>
    </row>
    <row r="80" spans="1:27">
      <c r="A80" s="3" t="s">
        <v>332</v>
      </c>
      <c r="B80" s="12">
        <v>15.981999999999999</v>
      </c>
      <c r="C80" s="12">
        <v>45.814999999999998</v>
      </c>
      <c r="D80">
        <v>1.19</v>
      </c>
      <c r="E80">
        <v>1.92</v>
      </c>
      <c r="F80">
        <v>2.88</v>
      </c>
      <c r="G80">
        <v>4.01</v>
      </c>
      <c r="H80">
        <v>5.07</v>
      </c>
      <c r="I80">
        <v>5.35</v>
      </c>
      <c r="J80">
        <v>5.71</v>
      </c>
      <c r="K80">
        <v>4.93</v>
      </c>
      <c r="L80">
        <v>3.72</v>
      </c>
      <c r="M80">
        <v>2.2599999999999998</v>
      </c>
      <c r="N80">
        <v>1.2</v>
      </c>
      <c r="O80">
        <v>0.84199999999999997</v>
      </c>
      <c r="P80" s="16">
        <v>0.4</v>
      </c>
      <c r="Q80" s="16">
        <v>1.6</v>
      </c>
      <c r="R80" s="16">
        <v>6.5</v>
      </c>
      <c r="S80" s="16">
        <v>11.8</v>
      </c>
      <c r="T80" s="16">
        <v>16.7</v>
      </c>
      <c r="U80" s="16">
        <v>20.3</v>
      </c>
      <c r="V80" s="16">
        <v>22.8</v>
      </c>
      <c r="W80" s="16">
        <v>22.3</v>
      </c>
      <c r="X80" s="16">
        <v>16.600000000000001</v>
      </c>
      <c r="Y80" s="16">
        <v>11.9</v>
      </c>
      <c r="Z80" s="16">
        <v>6.9</v>
      </c>
      <c r="AA80" s="16">
        <v>1.6</v>
      </c>
    </row>
    <row r="81" spans="1:28">
      <c r="A81" s="10" t="s">
        <v>226</v>
      </c>
    </row>
    <row r="82" spans="1:28">
      <c r="A82" s="3" t="s">
        <v>357</v>
      </c>
      <c r="B82" s="18">
        <f>18+25/60+26/3600</f>
        <v>18.423888888888889</v>
      </c>
      <c r="C82" s="18">
        <f>-(33+55/60+29/3600)</f>
        <v>-33.924722222222222</v>
      </c>
      <c r="D82" s="17">
        <v>8.17</v>
      </c>
      <c r="E82" s="17">
        <v>7.3</v>
      </c>
      <c r="F82" s="17">
        <v>5.91</v>
      </c>
      <c r="G82" s="17">
        <v>4.3</v>
      </c>
      <c r="H82" s="17">
        <v>3.09</v>
      </c>
      <c r="I82" s="17">
        <v>2.64</v>
      </c>
      <c r="J82" s="17">
        <v>2.85</v>
      </c>
      <c r="K82" s="17">
        <v>3.67</v>
      </c>
      <c r="L82" s="17">
        <v>4.92</v>
      </c>
      <c r="M82" s="17">
        <v>6.46</v>
      </c>
      <c r="N82" s="17">
        <v>7.68</v>
      </c>
      <c r="O82" s="17">
        <v>8.18</v>
      </c>
      <c r="P82" s="19">
        <v>22</v>
      </c>
      <c r="Q82" s="19">
        <v>22.4</v>
      </c>
      <c r="R82" s="19">
        <v>21.1</v>
      </c>
      <c r="S82" s="19">
        <v>18.5</v>
      </c>
      <c r="T82" s="19">
        <v>15.9</v>
      </c>
      <c r="U82" s="19">
        <v>13.3</v>
      </c>
      <c r="V82" s="19">
        <v>12.6</v>
      </c>
      <c r="W82" s="19">
        <v>13.2</v>
      </c>
      <c r="X82" s="19">
        <v>14.8</v>
      </c>
      <c r="Y82" s="19">
        <v>17.2</v>
      </c>
      <c r="Z82" s="19">
        <v>19.100000000000001</v>
      </c>
      <c r="AA82" s="19">
        <v>20.7</v>
      </c>
      <c r="AB82" s="17" t="s">
        <v>305</v>
      </c>
    </row>
    <row r="83" spans="1:28">
      <c r="A83" s="3" t="s">
        <v>358</v>
      </c>
      <c r="B83" s="18">
        <f>-(17+26/60+48/3600)</f>
        <v>-17.446666666666665</v>
      </c>
      <c r="C83" s="18">
        <f>14+41/60+34/3600</f>
        <v>14.692777777777778</v>
      </c>
      <c r="D83" s="17">
        <v>5.3</v>
      </c>
      <c r="E83" s="17">
        <v>5.78</v>
      </c>
      <c r="F83" s="17">
        <v>6.84</v>
      </c>
      <c r="G83" s="17">
        <v>7.32</v>
      </c>
      <c r="H83" s="17">
        <v>7.11</v>
      </c>
      <c r="I83" s="17">
        <v>6.65</v>
      </c>
      <c r="J83" s="17">
        <v>6.19</v>
      </c>
      <c r="K83" s="17">
        <v>5.96</v>
      </c>
      <c r="L83" s="17">
        <v>5.9</v>
      </c>
      <c r="M83" s="17">
        <v>5.97</v>
      </c>
      <c r="N83" s="17">
        <v>5.41</v>
      </c>
      <c r="O83" s="17">
        <v>5.0599999999999996</v>
      </c>
      <c r="P83" s="19">
        <v>22.8</v>
      </c>
      <c r="Q83" s="19">
        <v>22.1</v>
      </c>
      <c r="R83" s="19">
        <v>21.4</v>
      </c>
      <c r="S83" s="19">
        <v>21</v>
      </c>
      <c r="T83" s="19">
        <v>21.9</v>
      </c>
      <c r="U83" s="19">
        <v>23.8</v>
      </c>
      <c r="V83" s="19">
        <v>25.4</v>
      </c>
      <c r="W83" s="19">
        <v>26</v>
      </c>
      <c r="X83" s="19">
        <v>26.1</v>
      </c>
      <c r="Y83" s="19">
        <v>26.9</v>
      </c>
      <c r="Z83" s="19">
        <v>27</v>
      </c>
      <c r="AA83" s="19">
        <v>25.2</v>
      </c>
    </row>
    <row r="84" spans="1:28">
      <c r="A84" s="3" t="s">
        <v>359</v>
      </c>
      <c r="B84" s="18">
        <f>31+14/60+8/3600</f>
        <v>31.235555555555557</v>
      </c>
      <c r="C84" s="18">
        <f>30+2/60+39/3600</f>
        <v>30.044166666666669</v>
      </c>
      <c r="D84" s="17">
        <v>3.23</v>
      </c>
      <c r="E84" s="17">
        <v>3.91</v>
      </c>
      <c r="F84" s="17">
        <v>5.1100000000000003</v>
      </c>
      <c r="G84" s="17">
        <v>6.28</v>
      </c>
      <c r="H84" s="17">
        <v>6.99</v>
      </c>
      <c r="I84" s="17">
        <v>7.69</v>
      </c>
      <c r="J84" s="17">
        <v>7.33</v>
      </c>
      <c r="K84" s="17">
        <v>6.85</v>
      </c>
      <c r="L84" s="17">
        <v>5.86</v>
      </c>
      <c r="M84" s="17">
        <v>4.4800000000000004</v>
      </c>
      <c r="N84" s="17">
        <v>3.45</v>
      </c>
      <c r="O84" s="17">
        <v>3</v>
      </c>
      <c r="P84" s="19">
        <v>13.3</v>
      </c>
      <c r="Q84" s="19">
        <v>13.7</v>
      </c>
      <c r="R84" s="19">
        <v>16</v>
      </c>
      <c r="S84" s="19">
        <v>20.2</v>
      </c>
      <c r="T84" s="19">
        <v>23.4</v>
      </c>
      <c r="U84" s="19">
        <v>26.3</v>
      </c>
      <c r="V84" s="19">
        <v>28.2</v>
      </c>
      <c r="W84" s="19">
        <v>28.3</v>
      </c>
      <c r="X84" s="19">
        <v>26.4</v>
      </c>
      <c r="Y84" s="19">
        <v>22.8</v>
      </c>
      <c r="Z84" s="19">
        <v>19</v>
      </c>
      <c r="AA84" s="19">
        <v>14.9</v>
      </c>
    </row>
    <row r="85" spans="1:28">
      <c r="A85" s="3" t="s">
        <v>360</v>
      </c>
      <c r="B85" s="18">
        <f>15+18/60+50/3600</f>
        <v>15.31388888888889</v>
      </c>
      <c r="C85" s="18">
        <f>-(4+19/60+54/3600)</f>
        <v>-4.3316666666666661</v>
      </c>
      <c r="D85" s="17">
        <v>4.75</v>
      </c>
      <c r="E85" s="17">
        <v>4.99</v>
      </c>
      <c r="F85" s="17">
        <v>5.0999999999999996</v>
      </c>
      <c r="G85" s="17">
        <v>4.8600000000000003</v>
      </c>
      <c r="H85" s="17">
        <v>4.43</v>
      </c>
      <c r="I85" s="17">
        <v>4.3</v>
      </c>
      <c r="J85" s="17">
        <v>4.5999999999999996</v>
      </c>
      <c r="K85" s="17">
        <v>4.8</v>
      </c>
      <c r="L85" s="17">
        <v>4.67</v>
      </c>
      <c r="M85" s="17">
        <v>4.1500000000000004</v>
      </c>
      <c r="N85" s="17">
        <v>4.3</v>
      </c>
      <c r="O85" s="17">
        <v>4.43</v>
      </c>
      <c r="P85" s="19">
        <v>24.2</v>
      </c>
      <c r="Q85" s="19">
        <v>24.4</v>
      </c>
      <c r="R85" s="19">
        <v>24.5</v>
      </c>
      <c r="S85" s="19">
        <v>24.6</v>
      </c>
      <c r="T85" s="19">
        <v>25.2</v>
      </c>
      <c r="U85" s="19">
        <v>26</v>
      </c>
      <c r="V85" s="19">
        <v>26.2</v>
      </c>
      <c r="W85" s="19">
        <v>27</v>
      </c>
      <c r="X85" s="19">
        <v>26.6</v>
      </c>
      <c r="Y85" s="19">
        <v>25.1</v>
      </c>
      <c r="Z85" s="19">
        <v>24.2</v>
      </c>
      <c r="AA85" s="19">
        <v>24.2</v>
      </c>
    </row>
    <row r="86" spans="1:28">
      <c r="A86" s="3" t="s">
        <v>361</v>
      </c>
      <c r="B86" s="18">
        <f>36+49/60+19/3600</f>
        <v>36.821944444444448</v>
      </c>
      <c r="C86" s="18">
        <f>-(1+17/60+31/3600)</f>
        <v>-1.2919444444444443</v>
      </c>
      <c r="D86" s="17">
        <v>6.42</v>
      </c>
      <c r="E86" s="17">
        <v>6.86</v>
      </c>
      <c r="F86" s="17">
        <v>6.66</v>
      </c>
      <c r="G86" s="17">
        <v>5.83</v>
      </c>
      <c r="H86" s="17">
        <v>5.36</v>
      </c>
      <c r="I86" s="17">
        <v>5.1100000000000003</v>
      </c>
      <c r="J86" s="17">
        <v>5.23</v>
      </c>
      <c r="K86" s="17">
        <v>5.55</v>
      </c>
      <c r="L86" s="17">
        <v>6.37</v>
      </c>
      <c r="M86" s="17">
        <v>6.13</v>
      </c>
      <c r="N86" s="17">
        <v>5.59</v>
      </c>
      <c r="O86" s="17">
        <v>6.06</v>
      </c>
      <c r="P86" s="19">
        <v>20.3</v>
      </c>
      <c r="Q86" s="19">
        <v>21</v>
      </c>
      <c r="R86" s="19">
        <v>21</v>
      </c>
      <c r="S86" s="19">
        <v>20.2</v>
      </c>
      <c r="T86" s="19">
        <v>19.7</v>
      </c>
      <c r="U86" s="19">
        <v>19.100000000000001</v>
      </c>
      <c r="V86" s="19">
        <v>18.600000000000001</v>
      </c>
      <c r="W86" s="19">
        <v>19</v>
      </c>
      <c r="X86" s="19">
        <v>20.100000000000001</v>
      </c>
      <c r="Y86" s="19">
        <v>20.5</v>
      </c>
      <c r="Z86" s="19">
        <v>19.5</v>
      </c>
      <c r="AA86" s="19">
        <v>19.600000000000001</v>
      </c>
    </row>
    <row r="87" spans="1:28">
      <c r="A87" s="3" t="s">
        <v>362</v>
      </c>
      <c r="B87" s="18">
        <f>-(6+49/60+57/3600)</f>
        <v>-6.8324999999999996</v>
      </c>
      <c r="C87" s="18">
        <f>34+0/60+54/3600</f>
        <v>34.015000000000001</v>
      </c>
      <c r="D87" s="17">
        <v>2.95</v>
      </c>
      <c r="E87" s="17">
        <v>3.89</v>
      </c>
      <c r="F87" s="17">
        <v>5.23</v>
      </c>
      <c r="G87" s="17">
        <v>6.45</v>
      </c>
      <c r="H87" s="17">
        <v>7.3</v>
      </c>
      <c r="I87" s="17">
        <v>7.63</v>
      </c>
      <c r="J87" s="17">
        <v>7.59</v>
      </c>
      <c r="K87" s="17">
        <v>6.96</v>
      </c>
      <c r="L87" s="17">
        <v>5.79</v>
      </c>
      <c r="M87" s="17">
        <v>4.26</v>
      </c>
      <c r="N87" s="17">
        <v>3.1</v>
      </c>
      <c r="O87" s="17">
        <v>2.54</v>
      </c>
      <c r="P87" s="19">
        <v>12.2</v>
      </c>
      <c r="Q87" s="19">
        <v>13.5</v>
      </c>
      <c r="R87" s="19">
        <v>16.100000000000001</v>
      </c>
      <c r="S87" s="19">
        <v>17.399999999999999</v>
      </c>
      <c r="T87" s="19">
        <v>20.3</v>
      </c>
      <c r="U87" s="19">
        <v>23.8</v>
      </c>
      <c r="V87" s="19">
        <v>26.7</v>
      </c>
      <c r="W87" s="19">
        <v>26.1</v>
      </c>
      <c r="X87" s="19">
        <v>23.9</v>
      </c>
      <c r="Y87" s="19">
        <v>20.6</v>
      </c>
      <c r="Z87" s="19">
        <v>16.8</v>
      </c>
      <c r="AA87" s="19">
        <v>13.9</v>
      </c>
    </row>
    <row r="88" spans="1:28">
      <c r="A88" s="10" t="s">
        <v>227</v>
      </c>
    </row>
    <row r="89" spans="1:28">
      <c r="A89" s="3" t="s">
        <v>363</v>
      </c>
      <c r="B89" s="18">
        <f>44+26/60+0/3600</f>
        <v>44.43333333333333</v>
      </c>
      <c r="C89" s="18">
        <f>33+20/60+0/3600</f>
        <v>33.333333333333336</v>
      </c>
      <c r="D89" s="17">
        <v>2.96</v>
      </c>
      <c r="E89" s="17">
        <v>4.03</v>
      </c>
      <c r="F89" s="17">
        <v>4.9800000000000004</v>
      </c>
      <c r="G89" s="17">
        <v>5.39</v>
      </c>
      <c r="H89" s="17">
        <v>6.48</v>
      </c>
      <c r="I89" s="17">
        <v>7.56</v>
      </c>
      <c r="J89" s="17">
        <v>7</v>
      </c>
      <c r="K89" s="17">
        <v>6.71</v>
      </c>
      <c r="L89" s="17">
        <v>5.55</v>
      </c>
      <c r="M89" s="17">
        <v>3.98</v>
      </c>
      <c r="N89" s="17">
        <v>2.98</v>
      </c>
      <c r="O89" s="17">
        <v>2.62</v>
      </c>
      <c r="P89" s="19">
        <v>9.8000000000000007</v>
      </c>
      <c r="Q89" s="19">
        <v>11.5</v>
      </c>
      <c r="R89" s="19">
        <v>16.2</v>
      </c>
      <c r="S89" s="19">
        <v>23.1</v>
      </c>
      <c r="T89" s="19">
        <v>29.1</v>
      </c>
      <c r="U89" s="19">
        <v>33.4</v>
      </c>
      <c r="V89" s="19">
        <v>36.1</v>
      </c>
      <c r="W89" s="19">
        <v>35.799999999999997</v>
      </c>
      <c r="X89" s="19">
        <v>32</v>
      </c>
      <c r="Y89" s="19">
        <v>26.2</v>
      </c>
      <c r="Z89" s="19">
        <v>17.899999999999999</v>
      </c>
      <c r="AA89" s="19">
        <v>11.6</v>
      </c>
    </row>
    <row r="90" spans="1:28">
      <c r="A90" s="3" t="s">
        <v>364</v>
      </c>
      <c r="B90" s="18">
        <f>100+29/60+38/3600</f>
        <v>100.49388888888889</v>
      </c>
      <c r="C90" s="18">
        <f>13+45/60+8/3600</f>
        <v>13.752222222222223</v>
      </c>
      <c r="D90" s="17">
        <v>5.07</v>
      </c>
      <c r="E90" s="17">
        <v>5.62</v>
      </c>
      <c r="F90" s="17">
        <v>5.99</v>
      </c>
      <c r="G90" s="17">
        <v>6.23</v>
      </c>
      <c r="H90" s="17">
        <v>5.37</v>
      </c>
      <c r="I90" s="17">
        <v>4.93</v>
      </c>
      <c r="J90" s="17">
        <v>4.82</v>
      </c>
      <c r="K90" s="17">
        <v>4.8099999999999996</v>
      </c>
      <c r="L90" s="17">
        <v>4.7300000000000004</v>
      </c>
      <c r="M90" s="17">
        <v>4.49</v>
      </c>
      <c r="N90" s="17">
        <v>4.74</v>
      </c>
      <c r="O90" s="17">
        <v>4.8600000000000003</v>
      </c>
      <c r="P90" s="19">
        <v>25.3</v>
      </c>
      <c r="Q90" s="19">
        <v>26.4</v>
      </c>
      <c r="R90" s="19">
        <v>26.9</v>
      </c>
      <c r="S90" s="19">
        <v>27.2</v>
      </c>
      <c r="T90" s="19">
        <v>27</v>
      </c>
      <c r="U90" s="19">
        <v>26.6</v>
      </c>
      <c r="V90" s="19">
        <v>26.3</v>
      </c>
      <c r="W90" s="19">
        <v>26.2</v>
      </c>
      <c r="X90" s="19">
        <v>26</v>
      </c>
      <c r="Y90" s="19">
        <v>25.4</v>
      </c>
      <c r="Z90" s="19">
        <v>24.4</v>
      </c>
      <c r="AA90" s="19">
        <v>24.1</v>
      </c>
    </row>
    <row r="91" spans="1:28">
      <c r="A91" s="3" t="s">
        <v>366</v>
      </c>
      <c r="B91" s="18">
        <f>116+24/60+25/3600</f>
        <v>116.40694444444445</v>
      </c>
      <c r="C91" s="18">
        <f>39+54/60+14/3600</f>
        <v>39.903888888888886</v>
      </c>
      <c r="D91" s="17">
        <v>2.79</v>
      </c>
      <c r="E91" s="17">
        <v>3.69</v>
      </c>
      <c r="F91" s="17">
        <v>4.71</v>
      </c>
      <c r="G91" s="17">
        <v>5.75</v>
      </c>
      <c r="H91" s="17">
        <v>6.17</v>
      </c>
      <c r="I91" s="17">
        <v>5.72</v>
      </c>
      <c r="J91" s="17">
        <v>5.13</v>
      </c>
      <c r="K91" s="17">
        <v>4.67</v>
      </c>
      <c r="L91" s="17">
        <v>4.26</v>
      </c>
      <c r="M91" s="17">
        <v>3.67</v>
      </c>
      <c r="N91" s="17">
        <v>2.82</v>
      </c>
      <c r="O91" s="17">
        <v>2.4700000000000002</v>
      </c>
      <c r="P91" s="19">
        <v>-5.7</v>
      </c>
      <c r="Q91" s="19">
        <v>-1.8</v>
      </c>
      <c r="R91" s="19">
        <v>5.0999999999999996</v>
      </c>
      <c r="S91" s="19">
        <v>14.6</v>
      </c>
      <c r="T91" s="19">
        <v>21.1</v>
      </c>
      <c r="U91" s="19">
        <v>24.8</v>
      </c>
      <c r="V91" s="19">
        <v>25.3</v>
      </c>
      <c r="W91" s="19">
        <v>24.1</v>
      </c>
      <c r="X91" s="19">
        <v>20.5</v>
      </c>
      <c r="Y91" s="19">
        <v>13.7</v>
      </c>
      <c r="Z91" s="19">
        <v>4</v>
      </c>
      <c r="AA91" s="19">
        <v>-2.9</v>
      </c>
    </row>
    <row r="92" spans="1:28">
      <c r="A92" s="3" t="s">
        <v>367</v>
      </c>
      <c r="B92" s="18">
        <f>46+43/60+0/3600</f>
        <v>46.716666666666669</v>
      </c>
      <c r="C92" s="18">
        <f>24+38/60+0/3600</f>
        <v>24.633333333333333</v>
      </c>
      <c r="D92" s="17">
        <v>3.76</v>
      </c>
      <c r="E92" s="17">
        <v>4.63</v>
      </c>
      <c r="F92" s="17">
        <v>5.38</v>
      </c>
      <c r="G92" s="17">
        <v>6.19</v>
      </c>
      <c r="H92" s="17">
        <v>7.15</v>
      </c>
      <c r="I92" s="17">
        <v>7.87</v>
      </c>
      <c r="J92" s="17">
        <v>7.59</v>
      </c>
      <c r="K92" s="17">
        <v>7.15</v>
      </c>
      <c r="L92" s="17">
        <v>6.34</v>
      </c>
      <c r="M92" s="17">
        <v>5.47</v>
      </c>
      <c r="N92" s="17">
        <v>4.22</v>
      </c>
      <c r="O92" s="17">
        <v>3.52</v>
      </c>
      <c r="P92" s="19">
        <v>14.2</v>
      </c>
      <c r="Q92" s="19">
        <v>16.600000000000001</v>
      </c>
      <c r="R92" s="19">
        <v>20.8</v>
      </c>
      <c r="S92" s="19">
        <v>26.5</v>
      </c>
      <c r="T92" s="19">
        <v>31.8</v>
      </c>
      <c r="U92" s="19">
        <v>34</v>
      </c>
      <c r="V92" s="19">
        <v>35.299999999999997</v>
      </c>
      <c r="W92" s="19">
        <v>35.1</v>
      </c>
      <c r="X92" s="19">
        <v>32.299999999999997</v>
      </c>
      <c r="Y92" s="19">
        <v>27.4</v>
      </c>
      <c r="Z92" s="19">
        <v>21.7</v>
      </c>
      <c r="AA92" s="19">
        <v>16.399999999999999</v>
      </c>
    </row>
    <row r="93" spans="1:28">
      <c r="A93" s="3" t="s">
        <v>368</v>
      </c>
      <c r="B93" s="18">
        <f>139+42/60+54/3600</f>
        <v>139.71499999999997</v>
      </c>
      <c r="C93" s="18">
        <f>35+42/60+2/3600</f>
        <v>35.70055555555556</v>
      </c>
      <c r="D93" s="17">
        <v>3</v>
      </c>
      <c r="E93" s="17">
        <v>3.72</v>
      </c>
      <c r="F93" s="17">
        <v>4.17</v>
      </c>
      <c r="G93" s="17">
        <v>4.88</v>
      </c>
      <c r="H93" s="17">
        <v>4.8499999999999996</v>
      </c>
      <c r="I93" s="17">
        <v>4.21</v>
      </c>
      <c r="J93" s="17">
        <v>4.43</v>
      </c>
      <c r="K93" s="17">
        <v>4.47</v>
      </c>
      <c r="L93" s="17">
        <v>3.31</v>
      </c>
      <c r="M93" s="17">
        <v>3.05</v>
      </c>
      <c r="N93" s="17">
        <v>2.77</v>
      </c>
      <c r="O93" s="17">
        <v>2.72</v>
      </c>
      <c r="P93" s="19">
        <v>3.9</v>
      </c>
      <c r="Q93" s="19">
        <v>4.2</v>
      </c>
      <c r="R93" s="19">
        <v>7.4</v>
      </c>
      <c r="S93" s="19">
        <v>12.8</v>
      </c>
      <c r="T93" s="19">
        <v>17.3</v>
      </c>
      <c r="U93" s="19">
        <v>21</v>
      </c>
      <c r="V93" s="19">
        <v>23.9</v>
      </c>
      <c r="W93" s="19">
        <v>24.9</v>
      </c>
      <c r="X93" s="19">
        <v>22.3</v>
      </c>
      <c r="Y93" s="19">
        <v>17</v>
      </c>
      <c r="Z93" s="19">
        <v>11.8</v>
      </c>
      <c r="AA93" s="19">
        <v>6.5</v>
      </c>
    </row>
    <row r="94" spans="1:28">
      <c r="A94" s="10" t="s">
        <v>228</v>
      </c>
    </row>
    <row r="95" spans="1:28">
      <c r="A95" s="10" t="s">
        <v>267</v>
      </c>
    </row>
    <row r="96" spans="1:28">
      <c r="A96" s="24" t="s">
        <v>342</v>
      </c>
    </row>
    <row r="97" spans="1:27">
      <c r="A97" s="3" t="s">
        <v>345</v>
      </c>
      <c r="B97" s="18">
        <v>-84.43</v>
      </c>
      <c r="C97" s="18">
        <v>33.65</v>
      </c>
      <c r="D97" s="17">
        <v>2.54</v>
      </c>
      <c r="E97" s="17">
        <v>3.19</v>
      </c>
      <c r="F97" s="17">
        <v>4.33</v>
      </c>
      <c r="G97" s="17">
        <v>5.27</v>
      </c>
      <c r="H97" s="17">
        <v>5.83</v>
      </c>
      <c r="I97" s="17">
        <v>5.63</v>
      </c>
      <c r="J97" s="17">
        <v>5.75</v>
      </c>
      <c r="K97" s="17">
        <v>5.2</v>
      </c>
      <c r="L97" s="17">
        <v>4.53</v>
      </c>
      <c r="M97" s="17">
        <v>3.94</v>
      </c>
      <c r="N97" s="17">
        <v>2.88</v>
      </c>
      <c r="O97" s="17">
        <v>2.39</v>
      </c>
      <c r="P97" s="19">
        <v>6.2</v>
      </c>
      <c r="Q97" s="19">
        <v>8.1999999999999993</v>
      </c>
      <c r="R97" s="19">
        <v>11.8</v>
      </c>
      <c r="S97" s="19">
        <v>16.3</v>
      </c>
      <c r="T97" s="19">
        <v>21.3</v>
      </c>
      <c r="U97" s="19">
        <v>24.5</v>
      </c>
      <c r="V97" s="19">
        <v>25.9</v>
      </c>
      <c r="W97" s="19">
        <v>25.2</v>
      </c>
      <c r="X97" s="19">
        <v>22.3</v>
      </c>
      <c r="Y97" s="19">
        <v>17.399999999999999</v>
      </c>
      <c r="Z97" s="19">
        <v>12.3</v>
      </c>
      <c r="AA97" s="19">
        <v>7.2</v>
      </c>
    </row>
    <row r="98" spans="1:27">
      <c r="A98" s="3" t="s">
        <v>373</v>
      </c>
      <c r="B98" s="18">
        <v>-87.65</v>
      </c>
      <c r="C98" s="18">
        <v>41.9</v>
      </c>
      <c r="D98" s="17">
        <v>1.69</v>
      </c>
      <c r="E98" s="17">
        <v>2.4700000000000002</v>
      </c>
      <c r="F98" s="17">
        <v>3.47</v>
      </c>
      <c r="G98" s="17">
        <v>4.47</v>
      </c>
      <c r="H98" s="17">
        <v>5.29</v>
      </c>
      <c r="I98" s="17">
        <v>5.91</v>
      </c>
      <c r="J98" s="17">
        <v>5.99</v>
      </c>
      <c r="K98" s="17">
        <v>5.15</v>
      </c>
      <c r="L98" s="17">
        <v>4.3600000000000003</v>
      </c>
      <c r="M98" s="17">
        <v>3.06</v>
      </c>
      <c r="N98" s="17">
        <v>1.85</v>
      </c>
      <c r="O98" s="17">
        <v>1.48</v>
      </c>
      <c r="P98" s="19">
        <v>-4.9000000000000004</v>
      </c>
      <c r="Q98" s="19">
        <v>-2.1</v>
      </c>
      <c r="R98" s="19">
        <v>3.2</v>
      </c>
      <c r="S98" s="19">
        <v>10.3</v>
      </c>
      <c r="T98" s="19">
        <v>16.600000000000001</v>
      </c>
      <c r="U98" s="19">
        <v>21.5</v>
      </c>
      <c r="V98" s="19">
        <v>23.4</v>
      </c>
      <c r="W98" s="19">
        <v>22.1</v>
      </c>
      <c r="X98" s="19">
        <v>18.100000000000001</v>
      </c>
      <c r="Y98" s="19">
        <v>12.2</v>
      </c>
      <c r="Z98" s="19">
        <v>5.2</v>
      </c>
      <c r="AA98" s="19">
        <v>-2</v>
      </c>
    </row>
    <row r="99" spans="1:27">
      <c r="A99" s="3" t="s">
        <v>348</v>
      </c>
      <c r="B99" s="18">
        <v>-96.797499999999999</v>
      </c>
      <c r="C99" s="18">
        <v>32.782499999999999</v>
      </c>
      <c r="D99" s="17">
        <v>2.71</v>
      </c>
      <c r="E99" s="17">
        <v>3.42</v>
      </c>
      <c r="F99" s="17">
        <v>4.3600000000000003</v>
      </c>
      <c r="G99" s="17">
        <v>5.36</v>
      </c>
      <c r="H99" s="17">
        <v>5.72</v>
      </c>
      <c r="I99" s="17">
        <v>6.33</v>
      </c>
      <c r="J99" s="17">
        <v>6.55</v>
      </c>
      <c r="K99" s="17">
        <v>5.74</v>
      </c>
      <c r="L99" s="17">
        <v>5.04</v>
      </c>
      <c r="M99" s="17">
        <v>3.92</v>
      </c>
      <c r="N99" s="17">
        <v>2.93</v>
      </c>
      <c r="O99" s="17">
        <v>2.5099999999999998</v>
      </c>
      <c r="P99" s="19">
        <v>6.7</v>
      </c>
      <c r="Q99" s="19">
        <v>9.1999999999999993</v>
      </c>
      <c r="R99" s="19">
        <v>13.1</v>
      </c>
      <c r="S99" s="19">
        <v>17.899999999999999</v>
      </c>
      <c r="T99" s="19">
        <v>22.2</v>
      </c>
      <c r="U99" s="19">
        <v>25.4</v>
      </c>
      <c r="V99" s="19">
        <v>27.2</v>
      </c>
      <c r="W99" s="19">
        <v>27.3</v>
      </c>
      <c r="X99" s="19">
        <v>24.1</v>
      </c>
      <c r="Y99" s="19">
        <v>19.600000000000001</v>
      </c>
      <c r="Z99" s="19">
        <v>12.8</v>
      </c>
      <c r="AA99" s="19">
        <v>7.5</v>
      </c>
    </row>
    <row r="100" spans="1:27">
      <c r="A100" s="3" t="s">
        <v>347</v>
      </c>
      <c r="B100" s="18">
        <v>-104.984722</v>
      </c>
      <c r="C100" s="18">
        <v>39.739167000000002</v>
      </c>
      <c r="D100" s="17">
        <v>2.4300000000000002</v>
      </c>
      <c r="E100" s="17">
        <v>3.36</v>
      </c>
      <c r="F100" s="17">
        <v>4.54</v>
      </c>
      <c r="G100" s="17">
        <v>5.45</v>
      </c>
      <c r="H100" s="17">
        <v>6.32</v>
      </c>
      <c r="I100" s="17">
        <v>6.77</v>
      </c>
      <c r="J100" s="17">
        <v>6.4</v>
      </c>
      <c r="K100" s="17">
        <v>5.71</v>
      </c>
      <c r="L100" s="17">
        <v>5.1100000000000003</v>
      </c>
      <c r="M100" s="17">
        <v>3.93</v>
      </c>
      <c r="N100" s="17">
        <v>2.7</v>
      </c>
      <c r="O100" s="17">
        <v>2.19</v>
      </c>
      <c r="P100" s="19">
        <v>-2.8</v>
      </c>
      <c r="Q100" s="19">
        <v>-0.9</v>
      </c>
      <c r="R100" s="19">
        <v>2.8</v>
      </c>
      <c r="S100" s="19">
        <v>7.3</v>
      </c>
      <c r="T100" s="19">
        <v>13</v>
      </c>
      <c r="U100" s="19">
        <v>17.600000000000001</v>
      </c>
      <c r="V100" s="19">
        <v>20.399999999999999</v>
      </c>
      <c r="W100" s="19">
        <v>19.100000000000001</v>
      </c>
      <c r="X100" s="19">
        <v>15</v>
      </c>
      <c r="Y100" s="19">
        <v>8.5</v>
      </c>
      <c r="Z100" s="19">
        <v>1.3</v>
      </c>
      <c r="AA100" s="19">
        <v>-3.1</v>
      </c>
    </row>
    <row r="101" spans="1:27">
      <c r="A101" s="3" t="s">
        <v>346</v>
      </c>
      <c r="B101" s="18">
        <v>-115.13638899999999</v>
      </c>
      <c r="C101" s="18">
        <v>36.174999999999997</v>
      </c>
      <c r="D101" s="17">
        <v>2.86</v>
      </c>
      <c r="E101" s="17">
        <v>3.76</v>
      </c>
      <c r="F101" s="17">
        <v>5.24</v>
      </c>
      <c r="G101" s="17">
        <v>6.54</v>
      </c>
      <c r="H101" s="17">
        <v>7.4</v>
      </c>
      <c r="I101" s="17">
        <v>7.68</v>
      </c>
      <c r="J101" s="17">
        <v>7.07</v>
      </c>
      <c r="K101" s="17">
        <v>6.25</v>
      </c>
      <c r="L101" s="17">
        <v>5.49</v>
      </c>
      <c r="M101" s="17">
        <v>4.32</v>
      </c>
      <c r="N101" s="17">
        <v>3.19</v>
      </c>
      <c r="O101" s="17">
        <v>2.65</v>
      </c>
      <c r="P101" s="19">
        <v>2.9</v>
      </c>
      <c r="Q101" s="19">
        <v>4.9000000000000004</v>
      </c>
      <c r="R101" s="19">
        <v>9.1</v>
      </c>
      <c r="S101" s="19">
        <v>13.6</v>
      </c>
      <c r="T101" s="19">
        <v>19.2</v>
      </c>
      <c r="U101" s="19">
        <v>23.7</v>
      </c>
      <c r="V101" s="19">
        <v>27.1</v>
      </c>
      <c r="W101" s="19">
        <v>26.2</v>
      </c>
      <c r="X101" s="19">
        <v>21.7</v>
      </c>
      <c r="Y101" s="19">
        <v>15</v>
      </c>
      <c r="Z101" s="19">
        <v>6.8</v>
      </c>
      <c r="AA101" s="19">
        <v>2.5</v>
      </c>
    </row>
    <row r="102" spans="1:27">
      <c r="A102" s="3" t="s">
        <v>349</v>
      </c>
      <c r="B102" s="18">
        <v>-118.25</v>
      </c>
      <c r="C102" s="18">
        <v>34.049999999999997</v>
      </c>
      <c r="D102" s="17">
        <v>2.97</v>
      </c>
      <c r="E102" s="17">
        <v>3.74</v>
      </c>
      <c r="F102" s="17">
        <v>5.18</v>
      </c>
      <c r="G102" s="17">
        <v>6.7</v>
      </c>
      <c r="H102" s="17">
        <v>7.53</v>
      </c>
      <c r="I102" s="17">
        <v>7.88</v>
      </c>
      <c r="J102" s="17">
        <v>7.58</v>
      </c>
      <c r="K102" s="17">
        <v>6.9</v>
      </c>
      <c r="L102" s="17">
        <v>5.79</v>
      </c>
      <c r="M102" s="17">
        <v>4.4800000000000004</v>
      </c>
      <c r="N102" s="17">
        <v>3.41</v>
      </c>
      <c r="O102" s="17">
        <v>2.76</v>
      </c>
      <c r="P102" s="19">
        <v>9.1</v>
      </c>
      <c r="Q102" s="19">
        <v>10.1</v>
      </c>
      <c r="R102" s="19">
        <v>12.6</v>
      </c>
      <c r="S102" s="19">
        <v>15.9</v>
      </c>
      <c r="T102" s="19">
        <v>19.600000000000001</v>
      </c>
      <c r="U102" s="19">
        <v>23.2</v>
      </c>
      <c r="V102" s="19">
        <v>25.9</v>
      </c>
      <c r="W102" s="19">
        <v>25.9</v>
      </c>
      <c r="X102" s="19">
        <v>23.3</v>
      </c>
      <c r="Y102" s="19">
        <v>18.7</v>
      </c>
      <c r="Z102" s="19">
        <v>12.6</v>
      </c>
      <c r="AA102" s="19">
        <v>8.9</v>
      </c>
    </row>
    <row r="103" spans="1:27">
      <c r="A103" s="3" t="s">
        <v>340</v>
      </c>
      <c r="B103" s="18">
        <v>-80.27</v>
      </c>
      <c r="C103" s="18">
        <v>25.8</v>
      </c>
      <c r="D103" s="17">
        <v>3.69</v>
      </c>
      <c r="E103" s="17">
        <v>4.42</v>
      </c>
      <c r="F103" s="17">
        <v>5.16</v>
      </c>
      <c r="G103" s="17">
        <v>6.02</v>
      </c>
      <c r="H103" s="17">
        <v>6.05</v>
      </c>
      <c r="I103" s="17">
        <v>5.41</v>
      </c>
      <c r="J103" s="17">
        <v>5.4</v>
      </c>
      <c r="K103" s="17">
        <v>5.08</v>
      </c>
      <c r="L103" s="17">
        <v>4.5999999999999996</v>
      </c>
      <c r="M103" s="17">
        <v>4.37</v>
      </c>
      <c r="N103" s="17">
        <v>3.77</v>
      </c>
      <c r="O103" s="17">
        <v>3.45</v>
      </c>
      <c r="P103" s="19">
        <v>20.399999999999999</v>
      </c>
      <c r="Q103" s="19">
        <v>21</v>
      </c>
      <c r="R103" s="19">
        <v>21.8</v>
      </c>
      <c r="S103" s="19">
        <v>22.8</v>
      </c>
      <c r="T103" s="19">
        <v>24.8</v>
      </c>
      <c r="U103" s="19">
        <v>26.3</v>
      </c>
      <c r="V103" s="19">
        <v>26.8</v>
      </c>
      <c r="W103" s="19">
        <v>26.9</v>
      </c>
      <c r="X103" s="19">
        <v>26.6</v>
      </c>
      <c r="Y103" s="19">
        <v>25.4</v>
      </c>
      <c r="Z103" s="19">
        <v>23.6</v>
      </c>
      <c r="AA103" s="19">
        <v>21.4</v>
      </c>
    </row>
    <row r="104" spans="1:27">
      <c r="A104" s="3" t="s">
        <v>350</v>
      </c>
      <c r="B104" s="18">
        <v>-93.264167</v>
      </c>
      <c r="C104" s="18">
        <v>44.980277999999998</v>
      </c>
      <c r="D104" s="17">
        <v>1.71</v>
      </c>
      <c r="E104" s="17">
        <v>2.6</v>
      </c>
      <c r="F104" s="17">
        <v>3.48</v>
      </c>
      <c r="G104" s="17">
        <v>4.5599999999999996</v>
      </c>
      <c r="H104" s="17">
        <v>5.37</v>
      </c>
      <c r="I104" s="17">
        <v>5.94</v>
      </c>
      <c r="J104" s="17">
        <v>6.03</v>
      </c>
      <c r="K104" s="17">
        <v>5.22</v>
      </c>
      <c r="L104" s="17">
        <v>4.07</v>
      </c>
      <c r="M104" s="17">
        <v>2.8</v>
      </c>
      <c r="N104" s="17">
        <v>1.77</v>
      </c>
      <c r="O104" s="17">
        <v>1.43</v>
      </c>
      <c r="P104" s="19">
        <v>-10.9</v>
      </c>
      <c r="Q104" s="19">
        <v>-7.9</v>
      </c>
      <c r="R104" s="19">
        <v>-1.7</v>
      </c>
      <c r="S104" s="19">
        <v>7.1</v>
      </c>
      <c r="T104" s="19">
        <v>14.5</v>
      </c>
      <c r="U104" s="19">
        <v>19.7</v>
      </c>
      <c r="V104" s="19">
        <v>21.8</v>
      </c>
      <c r="W104" s="19">
        <v>20.6</v>
      </c>
      <c r="X104" s="19">
        <v>15.7</v>
      </c>
      <c r="Y104" s="19">
        <v>8.4</v>
      </c>
      <c r="Z104" s="19">
        <v>-0.9</v>
      </c>
      <c r="AA104" s="19">
        <v>-8.3000000000000007</v>
      </c>
    </row>
    <row r="105" spans="1:27">
      <c r="A105" s="3" t="s">
        <v>371</v>
      </c>
      <c r="B105" s="18">
        <v>-73.94</v>
      </c>
      <c r="C105" s="18">
        <v>40.67</v>
      </c>
      <c r="D105" s="17">
        <v>1.97</v>
      </c>
      <c r="E105" s="17">
        <v>2.86</v>
      </c>
      <c r="F105" s="17">
        <v>3.93</v>
      </c>
      <c r="G105" s="17">
        <v>4.83</v>
      </c>
      <c r="H105" s="17">
        <v>5.55</v>
      </c>
      <c r="I105" s="17">
        <v>6.03</v>
      </c>
      <c r="J105" s="17">
        <v>5.82</v>
      </c>
      <c r="K105" s="17">
        <v>5.27</v>
      </c>
      <c r="L105" s="17">
        <v>4.37</v>
      </c>
      <c r="M105" s="17">
        <v>3.26</v>
      </c>
      <c r="N105" s="17">
        <v>2.14</v>
      </c>
      <c r="O105" s="17">
        <v>1.73</v>
      </c>
      <c r="P105" s="19">
        <v>0.6</v>
      </c>
      <c r="Q105" s="19">
        <v>1.6</v>
      </c>
      <c r="R105" s="19">
        <v>4.8</v>
      </c>
      <c r="S105" s="19">
        <v>10</v>
      </c>
      <c r="T105" s="19">
        <v>15.4</v>
      </c>
      <c r="U105" s="19">
        <v>20.6</v>
      </c>
      <c r="V105" s="19">
        <v>23.6</v>
      </c>
      <c r="W105" s="19">
        <v>23.2</v>
      </c>
      <c r="X105" s="19">
        <v>20</v>
      </c>
      <c r="Y105" s="19">
        <v>14.2</v>
      </c>
      <c r="Z105" s="19">
        <v>8.9</v>
      </c>
      <c r="AA105" s="19">
        <v>3.5</v>
      </c>
    </row>
    <row r="106" spans="1:27">
      <c r="A106" s="3" t="s">
        <v>339</v>
      </c>
      <c r="B106" s="18">
        <v>-122.3</v>
      </c>
      <c r="C106" s="18">
        <v>47.45</v>
      </c>
      <c r="D106" s="17">
        <v>1.1100000000000001</v>
      </c>
      <c r="E106" s="17">
        <v>1.96</v>
      </c>
      <c r="F106" s="17">
        <v>2.97</v>
      </c>
      <c r="G106" s="17">
        <v>4.07</v>
      </c>
      <c r="H106" s="17">
        <v>4.9800000000000004</v>
      </c>
      <c r="I106" s="17">
        <v>5.49</v>
      </c>
      <c r="J106" s="17">
        <v>5.86</v>
      </c>
      <c r="K106" s="17">
        <v>5.23</v>
      </c>
      <c r="L106" s="17">
        <v>4.05</v>
      </c>
      <c r="M106" s="17">
        <v>2.3199999999999998</v>
      </c>
      <c r="N106" s="17">
        <v>1.26</v>
      </c>
      <c r="O106" s="17">
        <v>0.94</v>
      </c>
      <c r="P106" s="19">
        <v>3.2</v>
      </c>
      <c r="Q106" s="19">
        <v>3.3</v>
      </c>
      <c r="R106" s="19">
        <v>4.7</v>
      </c>
      <c r="S106" s="19">
        <v>6.8</v>
      </c>
      <c r="T106" s="19">
        <v>9.9</v>
      </c>
      <c r="U106" s="19">
        <v>12.7</v>
      </c>
      <c r="V106" s="19">
        <v>15.8</v>
      </c>
      <c r="W106" s="19">
        <v>16.2</v>
      </c>
      <c r="X106" s="19">
        <v>13.7</v>
      </c>
      <c r="Y106" s="19">
        <v>9.3000000000000007</v>
      </c>
      <c r="Z106" s="19">
        <v>5.2</v>
      </c>
      <c r="AA106" s="19">
        <v>2.9</v>
      </c>
    </row>
    <row r="107" spans="1:27">
      <c r="A107" s="3" t="s">
        <v>338</v>
      </c>
      <c r="B107" s="18">
        <f>-(77+2/60+12/3600)</f>
        <v>-77.036666666666662</v>
      </c>
      <c r="C107" s="18">
        <f>38+53/60+42/3600</f>
        <v>38.894999999999996</v>
      </c>
      <c r="D107" s="17">
        <v>2.12</v>
      </c>
      <c r="E107" s="17">
        <v>2.87</v>
      </c>
      <c r="F107" s="17">
        <v>3.91</v>
      </c>
      <c r="G107" s="17">
        <v>4.8600000000000003</v>
      </c>
      <c r="H107" s="17">
        <v>5.4</v>
      </c>
      <c r="I107" s="17">
        <v>5.8</v>
      </c>
      <c r="J107" s="17">
        <v>5.67</v>
      </c>
      <c r="K107" s="17">
        <v>5</v>
      </c>
      <c r="L107" s="17">
        <v>4.38</v>
      </c>
      <c r="M107" s="17">
        <v>3.51</v>
      </c>
      <c r="N107" s="17">
        <v>2.36</v>
      </c>
      <c r="O107" s="17">
        <v>1.89</v>
      </c>
      <c r="P107" s="19">
        <v>0.8</v>
      </c>
      <c r="Q107" s="19">
        <v>2.5</v>
      </c>
      <c r="R107" s="19">
        <v>6.6</v>
      </c>
      <c r="S107" s="19">
        <v>12.9</v>
      </c>
      <c r="T107" s="19">
        <v>18.600000000000001</v>
      </c>
      <c r="U107" s="19">
        <v>23.5</v>
      </c>
      <c r="V107" s="19">
        <v>25.6</v>
      </c>
      <c r="W107" s="19">
        <v>24.5</v>
      </c>
      <c r="X107" s="19">
        <v>20.8</v>
      </c>
      <c r="Y107" s="19">
        <v>14.5</v>
      </c>
      <c r="Z107" s="19">
        <v>8.6999999999999993</v>
      </c>
      <c r="AA107" s="19">
        <v>2.9</v>
      </c>
    </row>
    <row r="108" spans="1:27">
      <c r="A108" s="24" t="s">
        <v>343</v>
      </c>
    </row>
    <row r="109" spans="1:27">
      <c r="A109" s="3" t="s">
        <v>351</v>
      </c>
      <c r="B109" s="18">
        <v>-73.555000000000007</v>
      </c>
      <c r="C109" s="18">
        <v>45.508056000000003</v>
      </c>
      <c r="D109" s="17">
        <v>1.58</v>
      </c>
      <c r="E109" s="17">
        <v>2.5299999999999998</v>
      </c>
      <c r="F109" s="17">
        <v>3.62</v>
      </c>
      <c r="G109" s="17">
        <v>4.46</v>
      </c>
      <c r="H109" s="17">
        <v>5.0999999999999996</v>
      </c>
      <c r="I109" s="17">
        <v>5.61</v>
      </c>
      <c r="J109" s="17">
        <v>5.52</v>
      </c>
      <c r="K109" s="17">
        <v>4.91</v>
      </c>
      <c r="L109" s="17">
        <v>3.77</v>
      </c>
      <c r="M109" s="17">
        <v>2.38</v>
      </c>
      <c r="N109" s="17">
        <v>1.45</v>
      </c>
      <c r="O109" s="17">
        <v>1.28</v>
      </c>
      <c r="P109" s="19">
        <v>-11.2</v>
      </c>
      <c r="Q109" s="19">
        <v>-9.6</v>
      </c>
      <c r="R109" s="19">
        <v>-4.2</v>
      </c>
      <c r="S109" s="19">
        <v>4.7</v>
      </c>
      <c r="T109" s="19">
        <v>12.7</v>
      </c>
      <c r="U109" s="19">
        <v>18.5</v>
      </c>
      <c r="V109" s="19">
        <v>21</v>
      </c>
      <c r="W109" s="19">
        <v>19.899999999999999</v>
      </c>
      <c r="X109" s="19">
        <v>15.1</v>
      </c>
      <c r="Y109" s="19">
        <v>7.7</v>
      </c>
      <c r="Z109" s="19">
        <v>0.7</v>
      </c>
      <c r="AA109" s="19">
        <v>-7.1</v>
      </c>
    </row>
    <row r="110" spans="1:27" ht="15" customHeight="1">
      <c r="A110" s="3" t="s">
        <v>375</v>
      </c>
      <c r="B110" s="18">
        <v>-123.1</v>
      </c>
      <c r="C110" s="18">
        <v>49.25</v>
      </c>
      <c r="D110" s="17">
        <v>1.1299999999999999</v>
      </c>
      <c r="E110" s="17">
        <v>2.0299999999999998</v>
      </c>
      <c r="F110" s="17">
        <v>3.13</v>
      </c>
      <c r="G110" s="17">
        <v>4.53</v>
      </c>
      <c r="H110" s="17">
        <v>5.37</v>
      </c>
      <c r="I110" s="17">
        <v>5.66</v>
      </c>
      <c r="J110" s="17">
        <v>5.97</v>
      </c>
      <c r="K110" s="17">
        <v>5.18</v>
      </c>
      <c r="L110" s="17">
        <v>3.99</v>
      </c>
      <c r="M110" s="17">
        <v>2.2000000000000002</v>
      </c>
      <c r="N110" s="17">
        <v>1.27</v>
      </c>
      <c r="O110" s="17">
        <v>0.92</v>
      </c>
      <c r="P110" s="19">
        <v>-1.5</v>
      </c>
      <c r="Q110" s="19">
        <v>-0.7</v>
      </c>
      <c r="R110" s="19">
        <v>1.5</v>
      </c>
      <c r="S110" s="19">
        <v>4.5999999999999996</v>
      </c>
      <c r="T110" s="19">
        <v>8.6999999999999993</v>
      </c>
      <c r="U110" s="19">
        <v>12</v>
      </c>
      <c r="V110" s="19">
        <v>15.1</v>
      </c>
      <c r="W110" s="19">
        <v>15.3</v>
      </c>
      <c r="X110" s="19">
        <v>11.6</v>
      </c>
      <c r="Y110" s="19">
        <v>6.4</v>
      </c>
      <c r="Z110" s="19">
        <v>1.6</v>
      </c>
      <c r="AA110" s="19">
        <v>-1.7</v>
      </c>
    </row>
    <row r="111" spans="1:27">
      <c r="A111" s="24" t="s">
        <v>344</v>
      </c>
      <c r="E111" s="21"/>
      <c r="F111" s="22"/>
    </row>
    <row r="112" spans="1:27">
      <c r="A112" s="3" t="s">
        <v>352</v>
      </c>
      <c r="B112" s="18">
        <v>-99.133300000000006</v>
      </c>
      <c r="C112" s="18">
        <v>19.433299999999999</v>
      </c>
      <c r="D112" s="17">
        <v>4.78</v>
      </c>
      <c r="E112" s="17">
        <v>5.73</v>
      </c>
      <c r="F112" s="17">
        <v>6.55</v>
      </c>
      <c r="G112" s="17">
        <v>6.5</v>
      </c>
      <c r="H112" s="17">
        <v>6.24</v>
      </c>
      <c r="I112" s="17">
        <v>5.6</v>
      </c>
      <c r="J112" s="17">
        <v>5.51</v>
      </c>
      <c r="K112" s="17">
        <v>5.42</v>
      </c>
      <c r="L112" s="17">
        <v>4.95</v>
      </c>
      <c r="M112" s="17">
        <v>4.92</v>
      </c>
      <c r="N112" s="17">
        <v>4.8099999999999996</v>
      </c>
      <c r="O112" s="17">
        <v>4.49</v>
      </c>
      <c r="P112" s="19">
        <v>12.8</v>
      </c>
      <c r="Q112" s="19">
        <v>14.4</v>
      </c>
      <c r="R112" s="19">
        <v>16.7</v>
      </c>
      <c r="S112" s="19">
        <v>18.899999999999999</v>
      </c>
      <c r="T112" s="19">
        <v>19.5</v>
      </c>
      <c r="U112" s="19">
        <v>18.600000000000001</v>
      </c>
      <c r="V112" s="19">
        <v>18</v>
      </c>
      <c r="W112" s="19">
        <v>18.100000000000001</v>
      </c>
      <c r="X112" s="19">
        <v>17.3</v>
      </c>
      <c r="Y112" s="19">
        <v>15.9</v>
      </c>
      <c r="Z112" s="19">
        <v>14.4</v>
      </c>
      <c r="AA112" s="19">
        <v>13</v>
      </c>
    </row>
    <row r="113" spans="1:27">
      <c r="A113" s="10" t="s">
        <v>268</v>
      </c>
    </row>
    <row r="114" spans="1:27">
      <c r="A114" s="3" t="s">
        <v>356</v>
      </c>
      <c r="B114" s="18">
        <v>-74.080799999999996</v>
      </c>
      <c r="C114" s="18">
        <v>4.5989000000000004</v>
      </c>
      <c r="D114" s="17">
        <v>4.8600000000000003</v>
      </c>
      <c r="E114" s="17">
        <v>4.83</v>
      </c>
      <c r="F114" s="17">
        <v>4.91</v>
      </c>
      <c r="G114" s="17">
        <v>4.6500000000000004</v>
      </c>
      <c r="H114" s="17">
        <v>4.72</v>
      </c>
      <c r="I114" s="17">
        <v>4.83</v>
      </c>
      <c r="J114" s="17">
        <v>5</v>
      </c>
      <c r="K114" s="17">
        <v>5.07</v>
      </c>
      <c r="L114" s="17">
        <v>5.03</v>
      </c>
      <c r="M114" s="17">
        <v>4.7</v>
      </c>
      <c r="N114" s="17">
        <v>4.5999999999999996</v>
      </c>
      <c r="O114" s="17">
        <v>4.5999999999999996</v>
      </c>
      <c r="P114" s="19">
        <v>19.2</v>
      </c>
      <c r="Q114" s="19">
        <v>19.7</v>
      </c>
      <c r="R114" s="19">
        <v>19.7</v>
      </c>
      <c r="S114" s="19">
        <v>19.600000000000001</v>
      </c>
      <c r="T114" s="19">
        <v>19.399999999999999</v>
      </c>
      <c r="U114" s="19">
        <v>18.899999999999999</v>
      </c>
      <c r="V114" s="19">
        <v>18.899999999999999</v>
      </c>
      <c r="W114" s="19">
        <v>19.7</v>
      </c>
      <c r="X114" s="19">
        <v>20.2</v>
      </c>
      <c r="Y114" s="19">
        <v>19.7</v>
      </c>
      <c r="Z114" s="19">
        <v>19.2</v>
      </c>
      <c r="AA114" s="19">
        <v>19</v>
      </c>
    </row>
    <row r="115" spans="1:27">
      <c r="A115" s="3" t="s">
        <v>309</v>
      </c>
      <c r="B115" s="18">
        <f>-(58+22/60+19/3600)</f>
        <v>-58.371944444444445</v>
      </c>
      <c r="C115" s="18">
        <f>-(34+36/60+30/3600)</f>
        <v>-34.608333333333334</v>
      </c>
      <c r="D115" s="17">
        <v>7.05</v>
      </c>
      <c r="E115" s="17">
        <v>6.09</v>
      </c>
      <c r="F115" s="17">
        <v>4.9400000000000004</v>
      </c>
      <c r="G115" s="17">
        <v>3.64</v>
      </c>
      <c r="H115" s="17">
        <v>2.75</v>
      </c>
      <c r="I115" s="17">
        <v>2.2200000000000002</v>
      </c>
      <c r="J115" s="17">
        <v>2.46</v>
      </c>
      <c r="K115" s="17">
        <v>3.32</v>
      </c>
      <c r="L115" s="17">
        <v>4.54</v>
      </c>
      <c r="M115" s="17">
        <v>5.35</v>
      </c>
      <c r="N115" s="17">
        <v>6.44</v>
      </c>
      <c r="O115" s="17">
        <v>6.97</v>
      </c>
      <c r="P115" s="19">
        <v>24.9</v>
      </c>
      <c r="Q115" s="19">
        <v>23.6</v>
      </c>
      <c r="R115" s="19">
        <v>21.8</v>
      </c>
      <c r="S115" s="19">
        <v>17.5</v>
      </c>
      <c r="T115" s="19">
        <v>14</v>
      </c>
      <c r="U115" s="19">
        <v>11.1</v>
      </c>
      <c r="V115" s="19">
        <v>9.9</v>
      </c>
      <c r="W115" s="19">
        <v>12.6</v>
      </c>
      <c r="X115" s="19">
        <v>14.4</v>
      </c>
      <c r="Y115" s="19">
        <v>18.100000000000001</v>
      </c>
      <c r="Z115" s="19">
        <v>20.8</v>
      </c>
      <c r="AA115" s="19">
        <v>23.7</v>
      </c>
    </row>
    <row r="116" spans="1:27">
      <c r="A116" s="3" t="s">
        <v>308</v>
      </c>
      <c r="B116" s="18">
        <v>-66.933300000000003</v>
      </c>
      <c r="C116" s="18">
        <v>10.5</v>
      </c>
      <c r="D116" s="17">
        <v>5.39</v>
      </c>
      <c r="E116" s="17">
        <v>5.75</v>
      </c>
      <c r="F116" s="17">
        <v>6.18</v>
      </c>
      <c r="G116" s="17">
        <v>5.83</v>
      </c>
      <c r="H116" s="17">
        <v>5.51</v>
      </c>
      <c r="I116" s="17">
        <v>5.48</v>
      </c>
      <c r="J116" s="17">
        <v>5.78</v>
      </c>
      <c r="K116" s="17">
        <v>5.89</v>
      </c>
      <c r="L116" s="17">
        <v>5.8</v>
      </c>
      <c r="M116" s="17">
        <v>5.38</v>
      </c>
      <c r="N116" s="17">
        <v>5.03</v>
      </c>
      <c r="O116" s="17">
        <v>4.97</v>
      </c>
      <c r="P116" s="19">
        <v>24.4</v>
      </c>
      <c r="Q116" s="19">
        <v>24.8</v>
      </c>
      <c r="R116" s="19">
        <v>25.3</v>
      </c>
      <c r="S116" s="19">
        <v>25.7</v>
      </c>
      <c r="T116" s="19">
        <v>25.6</v>
      </c>
      <c r="U116" s="19">
        <v>25.2</v>
      </c>
      <c r="V116" s="19">
        <v>25</v>
      </c>
      <c r="W116" s="19">
        <v>25.2</v>
      </c>
      <c r="X116" s="19">
        <v>25.4</v>
      </c>
      <c r="Y116" s="19">
        <v>25.3</v>
      </c>
      <c r="Z116" s="19">
        <v>25.1</v>
      </c>
      <c r="AA116" s="19">
        <v>24.7</v>
      </c>
    </row>
    <row r="117" spans="1:27">
      <c r="A117" s="3" t="s">
        <v>355</v>
      </c>
      <c r="B117" s="18">
        <f>-(68+80/60+0/3600)</f>
        <v>-69.333333333333329</v>
      </c>
      <c r="C117" s="18">
        <f>-(16+30/60+0/3600)</f>
        <v>-16.5</v>
      </c>
      <c r="D117" s="17">
        <v>6</v>
      </c>
      <c r="E117" s="17">
        <v>6.06</v>
      </c>
      <c r="F117" s="17">
        <v>5.73</v>
      </c>
      <c r="G117" s="17">
        <v>5.72</v>
      </c>
      <c r="H117" s="17">
        <v>5.6</v>
      </c>
      <c r="I117" s="17">
        <v>5.28</v>
      </c>
      <c r="J117" s="17">
        <v>5.43</v>
      </c>
      <c r="K117" s="17">
        <v>5.86</v>
      </c>
      <c r="L117" s="17">
        <v>6.59</v>
      </c>
      <c r="M117" s="17">
        <v>6.99</v>
      </c>
      <c r="N117" s="17">
        <v>7.18</v>
      </c>
      <c r="O117" s="17">
        <v>6.68</v>
      </c>
      <c r="P117" s="19">
        <v>9.4</v>
      </c>
      <c r="Q117" s="19">
        <v>9.1</v>
      </c>
      <c r="R117" s="19">
        <v>8.9</v>
      </c>
      <c r="S117" s="19">
        <v>7.9</v>
      </c>
      <c r="T117" s="19">
        <v>6</v>
      </c>
      <c r="U117" s="19">
        <v>4.5999999999999996</v>
      </c>
      <c r="V117" s="19">
        <v>4.2</v>
      </c>
      <c r="W117" s="19">
        <v>5.7</v>
      </c>
      <c r="X117" s="19">
        <v>7.2</v>
      </c>
      <c r="Y117" s="19">
        <v>8.8000000000000007</v>
      </c>
      <c r="Z117" s="19">
        <v>9.6999999999999993</v>
      </c>
      <c r="AA117" s="19">
        <v>9.8000000000000007</v>
      </c>
    </row>
    <row r="118" spans="1:27">
      <c r="A118" s="3" t="s">
        <v>354</v>
      </c>
      <c r="B118" s="18">
        <f>-(77+1/60+0/3600)</f>
        <v>-77.016666666666666</v>
      </c>
      <c r="C118" s="18">
        <f>-(12+2/60+0/3600)</f>
        <v>-12.033333333333333</v>
      </c>
      <c r="D118" s="17">
        <v>7.24</v>
      </c>
      <c r="E118" s="17">
        <v>7.32</v>
      </c>
      <c r="F118" s="17">
        <v>7.14</v>
      </c>
      <c r="G118" s="17">
        <v>6.35</v>
      </c>
      <c r="H118" s="17">
        <v>4.9400000000000004</v>
      </c>
      <c r="I118" s="17">
        <v>3.4</v>
      </c>
      <c r="J118" s="17">
        <v>3.1</v>
      </c>
      <c r="K118" s="17">
        <v>3.49</v>
      </c>
      <c r="L118" s="17">
        <v>4.3499999999999996</v>
      </c>
      <c r="M118" s="17">
        <v>5.34</v>
      </c>
      <c r="N118" s="17">
        <v>6.09</v>
      </c>
      <c r="O118" s="17">
        <v>6.83</v>
      </c>
      <c r="P118" s="19">
        <v>19.899999999999999</v>
      </c>
      <c r="Q118" s="19">
        <v>20.6</v>
      </c>
      <c r="R118" s="19">
        <v>20.2</v>
      </c>
      <c r="S118" s="19">
        <v>19.3</v>
      </c>
      <c r="T118" s="19">
        <v>18.899999999999999</v>
      </c>
      <c r="U118" s="19">
        <v>18.600000000000001</v>
      </c>
      <c r="V118" s="19">
        <v>18.399999999999999</v>
      </c>
      <c r="W118" s="19">
        <v>17.600000000000001</v>
      </c>
      <c r="X118" s="19">
        <v>16.899999999999999</v>
      </c>
      <c r="Y118" s="19">
        <v>16.600000000000001</v>
      </c>
      <c r="Z118" s="19">
        <v>17</v>
      </c>
      <c r="AA118" s="19">
        <v>18.5</v>
      </c>
    </row>
    <row r="119" spans="1:27">
      <c r="A119" s="3" t="s">
        <v>372</v>
      </c>
      <c r="B119" s="18">
        <v>-56.166600000000003</v>
      </c>
      <c r="C119" s="18">
        <v>-34.86694</v>
      </c>
      <c r="D119" s="17">
        <v>6.94</v>
      </c>
      <c r="E119" s="17">
        <v>5.84</v>
      </c>
      <c r="F119" s="17">
        <v>4.8099999999999996</v>
      </c>
      <c r="G119" s="17">
        <v>3.55</v>
      </c>
      <c r="H119" s="17">
        <v>2.71</v>
      </c>
      <c r="I119" s="17">
        <v>2.16</v>
      </c>
      <c r="J119" s="17">
        <v>2.41</v>
      </c>
      <c r="K119" s="17">
        <v>3.18</v>
      </c>
      <c r="L119" s="17">
        <v>4.33</v>
      </c>
      <c r="M119" s="17">
        <v>5.24</v>
      </c>
      <c r="N119" s="17">
        <v>6.33</v>
      </c>
      <c r="O119" s="17">
        <v>6.9</v>
      </c>
      <c r="P119" s="19">
        <v>23.7</v>
      </c>
      <c r="Q119" s="19">
        <v>23</v>
      </c>
      <c r="R119" s="19">
        <v>21.8</v>
      </c>
      <c r="S119" s="19">
        <v>18.100000000000001</v>
      </c>
      <c r="T119" s="19">
        <v>14.7</v>
      </c>
      <c r="U119" s="19">
        <v>12.2</v>
      </c>
      <c r="V119" s="19">
        <v>10.8</v>
      </c>
      <c r="W119" s="19">
        <v>12.6</v>
      </c>
      <c r="X119" s="19">
        <v>13.8</v>
      </c>
      <c r="Y119" s="19">
        <v>16.899999999999999</v>
      </c>
      <c r="Z119" s="19">
        <v>19.399999999999999</v>
      </c>
      <c r="AA119" s="19">
        <v>22.3</v>
      </c>
    </row>
    <row r="120" spans="1:27">
      <c r="A120" s="3" t="s">
        <v>353</v>
      </c>
      <c r="B120" s="18">
        <v>-43.196389000000003</v>
      </c>
      <c r="C120" s="18">
        <v>-22.908329999999999</v>
      </c>
      <c r="D120" s="17">
        <v>5.21</v>
      </c>
      <c r="E120" s="17">
        <v>5.41</v>
      </c>
      <c r="F120" s="17">
        <v>4.76</v>
      </c>
      <c r="G120" s="17">
        <v>4.3099999999999996</v>
      </c>
      <c r="H120" s="17">
        <v>3.66</v>
      </c>
      <c r="I120" s="17">
        <v>3.65</v>
      </c>
      <c r="J120" s="17">
        <v>3.66</v>
      </c>
      <c r="K120" s="17">
        <v>4.32</v>
      </c>
      <c r="L120" s="17">
        <v>4.18</v>
      </c>
      <c r="M120" s="17">
        <v>4.74</v>
      </c>
      <c r="N120" s="17">
        <v>4.97</v>
      </c>
      <c r="O120" s="17">
        <v>5.0199999999999996</v>
      </c>
      <c r="P120" s="19">
        <v>24.6</v>
      </c>
      <c r="Q120" s="19">
        <v>24.7</v>
      </c>
      <c r="R120" s="19">
        <v>23.8</v>
      </c>
      <c r="S120" s="19">
        <v>22.6</v>
      </c>
      <c r="T120" s="19">
        <v>20.6</v>
      </c>
      <c r="U120" s="19">
        <v>19.7</v>
      </c>
      <c r="V120" s="19">
        <v>19.399999999999999</v>
      </c>
      <c r="W120" s="19">
        <v>20.6</v>
      </c>
      <c r="X120" s="19">
        <v>21.4</v>
      </c>
      <c r="Y120" s="19">
        <v>22.3</v>
      </c>
      <c r="Z120" s="19">
        <v>22.9</v>
      </c>
      <c r="AA120" s="19">
        <v>23.7</v>
      </c>
    </row>
    <row r="121" spans="1:27">
      <c r="A121" s="3" t="s">
        <v>374</v>
      </c>
      <c r="B121" s="18">
        <v>-70.666600000000003</v>
      </c>
      <c r="C121" s="18">
        <v>-33.450000000000003</v>
      </c>
      <c r="D121" s="17">
        <v>8.49</v>
      </c>
      <c r="E121" s="17">
        <v>7.5</v>
      </c>
      <c r="F121" s="17">
        <v>6.01</v>
      </c>
      <c r="G121" s="17">
        <v>4.3899999999999997</v>
      </c>
      <c r="H121" s="17">
        <v>2.98</v>
      </c>
      <c r="I121" s="17">
        <v>2.4700000000000002</v>
      </c>
      <c r="J121" s="17">
        <v>2.7</v>
      </c>
      <c r="K121" s="17">
        <v>3.52</v>
      </c>
      <c r="L121" s="17">
        <v>4.82</v>
      </c>
      <c r="M121" s="17">
        <v>6.34</v>
      </c>
      <c r="N121" s="17">
        <v>7.79</v>
      </c>
      <c r="O121" s="17">
        <v>8.58</v>
      </c>
      <c r="P121" s="19">
        <v>16.8</v>
      </c>
      <c r="Q121" s="19">
        <v>16.600000000000001</v>
      </c>
      <c r="R121" s="19">
        <v>14.7</v>
      </c>
      <c r="S121" s="19">
        <v>10.4</v>
      </c>
      <c r="T121" s="19">
        <v>6.7</v>
      </c>
      <c r="U121" s="19">
        <v>4.3</v>
      </c>
      <c r="V121" s="19">
        <v>3</v>
      </c>
      <c r="W121" s="19">
        <v>4.0999999999999996</v>
      </c>
      <c r="X121" s="19">
        <v>6.2</v>
      </c>
      <c r="Y121" s="19">
        <v>9.6</v>
      </c>
      <c r="Z121" s="19">
        <v>12.6</v>
      </c>
      <c r="AA121" s="19">
        <v>15.4</v>
      </c>
    </row>
    <row r="122" spans="1:27">
      <c r="A122" s="10" t="s">
        <v>341</v>
      </c>
    </row>
    <row r="123" spans="1:27">
      <c r="A123" s="3" t="s">
        <v>313</v>
      </c>
      <c r="B123" s="18">
        <f>-(82+23/60+0/3600)</f>
        <v>-82.38333333333334</v>
      </c>
      <c r="C123" s="18">
        <f>23+7/60+0/3600</f>
        <v>23.116666666666667</v>
      </c>
      <c r="D123" s="17">
        <v>4.09</v>
      </c>
      <c r="E123" s="17">
        <v>5.03</v>
      </c>
      <c r="F123" s="17">
        <v>6.03</v>
      </c>
      <c r="G123" s="17">
        <v>7.01</v>
      </c>
      <c r="H123" s="17">
        <v>7.14</v>
      </c>
      <c r="I123" s="17">
        <v>6.82</v>
      </c>
      <c r="J123" s="17">
        <v>7.05</v>
      </c>
      <c r="K123" s="17">
        <v>6.78</v>
      </c>
      <c r="L123" s="17">
        <v>5.9</v>
      </c>
      <c r="M123" s="17">
        <v>5.05</v>
      </c>
      <c r="N123" s="17">
        <v>4.24</v>
      </c>
      <c r="O123" s="17">
        <v>3.77</v>
      </c>
      <c r="P123" s="19">
        <v>21.4</v>
      </c>
      <c r="Q123" s="19">
        <v>22.2</v>
      </c>
      <c r="R123" s="19">
        <v>23.3</v>
      </c>
      <c r="S123" s="19">
        <v>24.6</v>
      </c>
      <c r="T123" s="19">
        <v>25.8</v>
      </c>
      <c r="U123" s="19">
        <v>26.6</v>
      </c>
      <c r="V123" s="19">
        <v>26.8</v>
      </c>
      <c r="W123" s="19">
        <v>26.9</v>
      </c>
      <c r="X123" s="19">
        <v>26.7</v>
      </c>
      <c r="Y123" s="19">
        <v>25.7</v>
      </c>
      <c r="Z123" s="19">
        <v>24.1</v>
      </c>
      <c r="AA123" s="19">
        <v>22.3</v>
      </c>
    </row>
    <row r="124" spans="1:27">
      <c r="A124" s="3" t="s">
        <v>312</v>
      </c>
      <c r="B124" s="18">
        <v>-86.2667</v>
      </c>
      <c r="C124" s="18">
        <v>12.15</v>
      </c>
      <c r="D124" s="17">
        <v>5.55</v>
      </c>
      <c r="E124" s="17">
        <v>6.06</v>
      </c>
      <c r="F124" s="17">
        <v>6.69</v>
      </c>
      <c r="G124" s="17">
        <v>6.52</v>
      </c>
      <c r="H124" s="17">
        <v>5.77</v>
      </c>
      <c r="I124" s="17">
        <v>5.69</v>
      </c>
      <c r="J124" s="17">
        <v>5.78</v>
      </c>
      <c r="K124" s="17">
        <v>5.75</v>
      </c>
      <c r="L124" s="17">
        <v>5.36</v>
      </c>
      <c r="M124" s="17">
        <v>5.27</v>
      </c>
      <c r="N124" s="17">
        <v>5.24</v>
      </c>
      <c r="O124" s="17">
        <v>5.33</v>
      </c>
      <c r="P124" s="19">
        <v>25.4</v>
      </c>
      <c r="Q124" s="19">
        <v>26.5</v>
      </c>
      <c r="R124" s="19">
        <v>27.7</v>
      </c>
      <c r="S124" s="19">
        <v>28.4</v>
      </c>
      <c r="T124" s="19">
        <v>26.9</v>
      </c>
      <c r="U124" s="19">
        <v>25.6</v>
      </c>
      <c r="V124" s="19">
        <v>25.5</v>
      </c>
      <c r="W124" s="19">
        <v>25.5</v>
      </c>
      <c r="X124" s="19">
        <v>25.2</v>
      </c>
      <c r="Y124" s="19">
        <v>24.9</v>
      </c>
      <c r="Z124" s="19">
        <v>24.7</v>
      </c>
      <c r="AA124" s="19">
        <v>24.9</v>
      </c>
    </row>
    <row r="125" spans="1:27">
      <c r="A125" s="3" t="s">
        <v>310</v>
      </c>
      <c r="B125" s="18">
        <v>-89.161000000000001</v>
      </c>
      <c r="C125" s="18">
        <v>13.731</v>
      </c>
      <c r="D125" s="17">
        <v>5.81</v>
      </c>
      <c r="E125" s="17">
        <v>6.43</v>
      </c>
      <c r="F125" s="17">
        <v>6.73</v>
      </c>
      <c r="G125" s="17">
        <v>6.6</v>
      </c>
      <c r="H125" s="17">
        <v>5.89</v>
      </c>
      <c r="I125" s="17">
        <v>5.73</v>
      </c>
      <c r="J125" s="17">
        <v>6.2</v>
      </c>
      <c r="K125" s="17">
        <v>6.17</v>
      </c>
      <c r="L125" s="17">
        <v>5.35</v>
      </c>
      <c r="M125" s="17">
        <v>5.47</v>
      </c>
      <c r="N125" s="17">
        <v>5.59</v>
      </c>
      <c r="O125" s="17">
        <v>5.54</v>
      </c>
      <c r="P125" s="19">
        <v>25.4</v>
      </c>
      <c r="Q125" s="19">
        <v>26</v>
      </c>
      <c r="R125" s="19">
        <v>26.4</v>
      </c>
      <c r="S125" s="19">
        <v>26.8</v>
      </c>
      <c r="T125" s="19">
        <v>26.2</v>
      </c>
      <c r="U125" s="19">
        <v>25.7</v>
      </c>
      <c r="V125" s="19">
        <v>26</v>
      </c>
      <c r="W125" s="19">
        <v>25.9</v>
      </c>
      <c r="X125" s="19">
        <v>25.2</v>
      </c>
      <c r="Y125" s="19">
        <v>25.2</v>
      </c>
      <c r="Z125" s="19">
        <v>25.5</v>
      </c>
      <c r="AA125" s="19">
        <v>25.4</v>
      </c>
    </row>
    <row r="126" spans="1:27">
      <c r="A126" s="3" t="s">
        <v>311</v>
      </c>
      <c r="B126" s="18">
        <v>-87.206670000000003</v>
      </c>
      <c r="C126" s="18">
        <v>14.094167000000001</v>
      </c>
      <c r="D126" s="17">
        <v>4.3899999999999997</v>
      </c>
      <c r="E126" s="17">
        <v>5.26</v>
      </c>
      <c r="F126" s="17">
        <v>5.97</v>
      </c>
      <c r="G126" s="17">
        <v>6.14</v>
      </c>
      <c r="H126" s="17">
        <v>5.6</v>
      </c>
      <c r="I126" s="17">
        <v>5.48</v>
      </c>
      <c r="J126" s="17">
        <v>5.56</v>
      </c>
      <c r="K126" s="17">
        <v>5.65</v>
      </c>
      <c r="L126" s="17">
        <v>5.24</v>
      </c>
      <c r="M126" s="17">
        <v>4.6399999999999997</v>
      </c>
      <c r="N126" s="17">
        <v>4.3099999999999996</v>
      </c>
      <c r="O126" s="17">
        <v>4.13</v>
      </c>
      <c r="P126" s="19">
        <v>20.8</v>
      </c>
      <c r="Q126" s="19">
        <v>22.2</v>
      </c>
      <c r="R126" s="19">
        <v>23.7</v>
      </c>
      <c r="S126" s="19">
        <v>25.1</v>
      </c>
      <c r="T126" s="19">
        <v>24.6</v>
      </c>
      <c r="U126" s="19">
        <v>23.6</v>
      </c>
      <c r="V126" s="19">
        <v>23.1</v>
      </c>
      <c r="W126" s="19">
        <v>23.2</v>
      </c>
      <c r="X126" s="19">
        <v>23.1</v>
      </c>
      <c r="Y126" s="19">
        <v>22.3</v>
      </c>
      <c r="Z126" s="19">
        <v>21.5</v>
      </c>
      <c r="AA126" s="19">
        <v>20.9</v>
      </c>
    </row>
    <row r="139" spans="1:6">
      <c r="A139" s="20"/>
      <c r="F139" s="3"/>
    </row>
    <row r="140" spans="1:6">
      <c r="A140" s="3"/>
      <c r="F140" s="3"/>
    </row>
    <row r="141" spans="1:6">
      <c r="A141" s="3"/>
      <c r="F141" s="3"/>
    </row>
    <row r="142" spans="1:6">
      <c r="A142" s="3"/>
      <c r="F142" s="3"/>
    </row>
    <row r="143" spans="1:6">
      <c r="A143" s="3"/>
      <c r="F143" s="3"/>
    </row>
    <row r="144" spans="1:6">
      <c r="A144" s="3"/>
      <c r="F144" s="3"/>
    </row>
    <row r="145" spans="1:6">
      <c r="A145" s="3"/>
      <c r="F145" s="3"/>
    </row>
    <row r="146" spans="1:6">
      <c r="A146" s="3"/>
      <c r="F146" s="3"/>
    </row>
    <row r="147" spans="1:6">
      <c r="A147" s="3"/>
      <c r="F147" s="3"/>
    </row>
    <row r="148" spans="1:6">
      <c r="A148" s="3"/>
      <c r="F148" s="3"/>
    </row>
    <row r="149" spans="1:6">
      <c r="A149" s="3"/>
      <c r="F149" s="3"/>
    </row>
    <row r="150" spans="1:6">
      <c r="A150" s="3"/>
      <c r="F150" s="3"/>
    </row>
    <row r="151" spans="1:6">
      <c r="F151" s="3"/>
    </row>
    <row r="152" spans="1:6">
      <c r="F152" s="3"/>
    </row>
    <row r="153" spans="1:6">
      <c r="A153" s="3"/>
      <c r="F153" s="3"/>
    </row>
    <row r="154" spans="1:6">
      <c r="A154" s="3"/>
      <c r="F154" s="3"/>
    </row>
    <row r="155" spans="1:6">
      <c r="A155" s="3"/>
      <c r="F155" s="3"/>
    </row>
    <row r="156" spans="1:6">
      <c r="A156" s="3"/>
      <c r="F156" s="3"/>
    </row>
    <row r="157" spans="1:6">
      <c r="A157" s="3"/>
      <c r="F157" s="3"/>
    </row>
    <row r="158" spans="1:6">
      <c r="A158" s="3"/>
      <c r="F158" s="3"/>
    </row>
    <row r="159" spans="1:6">
      <c r="A159" s="3"/>
      <c r="F159" s="3"/>
    </row>
    <row r="160" spans="1:6">
      <c r="A160" s="3"/>
      <c r="F160" s="3"/>
    </row>
    <row r="161" spans="1:9">
      <c r="F161" s="3"/>
      <c r="H161" s="21"/>
      <c r="I161" s="22"/>
    </row>
    <row r="162" spans="1:9">
      <c r="F162" s="3"/>
      <c r="H162" s="21"/>
      <c r="I162" s="22"/>
    </row>
    <row r="163" spans="1:9">
      <c r="H163" s="21"/>
      <c r="I163" s="22"/>
    </row>
    <row r="164" spans="1:9">
      <c r="H164" s="21"/>
      <c r="I164" s="22"/>
    </row>
    <row r="165" spans="1:9">
      <c r="H165" s="21"/>
      <c r="I165" s="22"/>
    </row>
    <row r="166" spans="1:9">
      <c r="H166" s="21"/>
      <c r="I166" s="22"/>
    </row>
    <row r="167" spans="1:9">
      <c r="A167" s="3"/>
      <c r="B167" s="21"/>
      <c r="C167" s="22"/>
      <c r="G167" s="3"/>
      <c r="H167" s="21"/>
      <c r="I167" s="22"/>
    </row>
    <row r="168" spans="1:9">
      <c r="A168" s="3"/>
      <c r="B168" s="21"/>
      <c r="C168" s="22"/>
      <c r="G168" s="3"/>
      <c r="H168" s="21"/>
      <c r="I168" s="22"/>
    </row>
    <row r="169" spans="1:9">
      <c r="A169" s="3"/>
      <c r="B169" s="21"/>
      <c r="C169" s="22"/>
      <c r="G169" s="3"/>
      <c r="H169" s="21"/>
      <c r="I169" s="22"/>
    </row>
    <row r="170" spans="1:9">
      <c r="A170" s="3"/>
      <c r="B170" s="21"/>
      <c r="C170" s="22"/>
      <c r="G170" s="3"/>
      <c r="H170" s="21"/>
      <c r="I170" s="22"/>
    </row>
    <row r="171" spans="1:9">
      <c r="A171" s="3"/>
      <c r="B171" s="21"/>
      <c r="C171" s="22"/>
      <c r="G171" s="3"/>
      <c r="H171" s="21"/>
      <c r="I171" s="22"/>
    </row>
    <row r="172" spans="1:9">
      <c r="A172" s="3"/>
      <c r="B172" s="21"/>
      <c r="C172" s="22"/>
      <c r="G172" s="3"/>
    </row>
    <row r="173" spans="1:9" ht="14.25" customHeight="1">
      <c r="A173" s="3"/>
      <c r="B173" s="21"/>
      <c r="C173" s="22"/>
      <c r="G173" s="3"/>
    </row>
    <row r="174" spans="1:9" ht="14.25" customHeight="1">
      <c r="A174" s="3"/>
      <c r="B174" s="21"/>
      <c r="C174" s="22"/>
      <c r="G174" s="3"/>
    </row>
    <row r="175" spans="1:9" ht="13.5" customHeight="1">
      <c r="A175" s="3"/>
      <c r="B175" s="21"/>
      <c r="C175" s="22"/>
      <c r="G175" s="3"/>
    </row>
    <row r="176" spans="1:9">
      <c r="A176" s="3"/>
      <c r="B176" s="21"/>
      <c r="C176" s="22"/>
      <c r="G176" s="3"/>
    </row>
    <row r="177" spans="1:7">
      <c r="A177" s="3"/>
      <c r="B177" s="21"/>
      <c r="C177" s="22"/>
      <c r="G177" s="3"/>
    </row>
    <row r="179" spans="1:7">
      <c r="A179" s="3"/>
      <c r="B179" s="21"/>
      <c r="C179" s="22"/>
      <c r="D179" s="22"/>
    </row>
    <row r="180" spans="1:7">
      <c r="A180" s="3"/>
      <c r="B180" s="21"/>
      <c r="C180" s="23"/>
    </row>
    <row r="181" spans="1:7">
      <c r="A181" s="3"/>
      <c r="B181" s="21"/>
      <c r="C181" s="22"/>
    </row>
    <row r="182" spans="1:7">
      <c r="A182" s="3"/>
      <c r="B182" s="21"/>
      <c r="C182" s="22"/>
    </row>
    <row r="184" spans="1:7">
      <c r="A184" s="3"/>
    </row>
  </sheetData>
  <mergeCells count="2">
    <mergeCell ref="D1:O1"/>
    <mergeCell ref="P1:AA1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7"/>
  <sheetViews>
    <sheetView zoomScale="78" zoomScaleNormal="78" workbookViewId="0">
      <selection activeCell="B108" sqref="B108"/>
    </sheetView>
  </sheetViews>
  <sheetFormatPr baseColWidth="10" defaultRowHeight="15"/>
  <cols>
    <col min="1" max="1" width="24.85546875" customWidth="1"/>
    <col min="2" max="2" width="16.140625" customWidth="1"/>
    <col min="3" max="3" width="17.5703125" customWidth="1"/>
    <col min="4" max="4" width="11.85546875" customWidth="1"/>
    <col min="12" max="12" width="13.42578125" customWidth="1"/>
    <col min="13" max="13" width="12.85546875" customWidth="1"/>
    <col min="14" max="14" width="14.5703125" customWidth="1"/>
    <col min="15" max="15" width="14.85546875" customWidth="1"/>
  </cols>
  <sheetData>
    <row r="1" spans="1:15" ht="15.75">
      <c r="D1" s="26" t="s">
        <v>152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15.75">
      <c r="A2" s="2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37</v>
      </c>
      <c r="I2" s="7" t="s">
        <v>38</v>
      </c>
      <c r="J2" s="7" t="s">
        <v>39</v>
      </c>
      <c r="K2" s="7" t="s">
        <v>40</v>
      </c>
      <c r="L2" s="7" t="s">
        <v>41</v>
      </c>
      <c r="M2" s="7" t="s">
        <v>42</v>
      </c>
      <c r="N2" s="7" t="s">
        <v>43</v>
      </c>
      <c r="O2" s="7" t="s">
        <v>44</v>
      </c>
    </row>
    <row r="3" spans="1:15">
      <c r="A3" s="3" t="s">
        <v>0</v>
      </c>
      <c r="B3" s="5" t="s">
        <v>57</v>
      </c>
      <c r="C3" s="5" t="s">
        <v>58</v>
      </c>
      <c r="D3" s="6">
        <v>2330</v>
      </c>
      <c r="E3" s="6">
        <v>3060</v>
      </c>
      <c r="F3" s="6">
        <v>4460</v>
      </c>
      <c r="G3" s="6">
        <v>5330</v>
      </c>
      <c r="H3" s="6">
        <v>6480</v>
      </c>
      <c r="I3" s="6">
        <v>7060</v>
      </c>
      <c r="J3" s="6">
        <v>7090</v>
      </c>
      <c r="K3" s="6">
        <v>6280</v>
      </c>
      <c r="L3" s="6">
        <v>5050</v>
      </c>
      <c r="M3" s="6">
        <v>3660</v>
      </c>
      <c r="N3" s="6">
        <v>2450</v>
      </c>
      <c r="O3" s="6">
        <v>2000</v>
      </c>
    </row>
    <row r="4" spans="1:15">
      <c r="A4" s="3" t="s">
        <v>1</v>
      </c>
      <c r="B4" s="5" t="s">
        <v>59</v>
      </c>
      <c r="C4" s="5" t="s">
        <v>60</v>
      </c>
      <c r="D4" s="6">
        <v>2320</v>
      </c>
      <c r="E4" s="6">
        <v>3090</v>
      </c>
      <c r="F4" s="6">
        <v>4340</v>
      </c>
      <c r="G4" s="6">
        <v>5260</v>
      </c>
      <c r="H4" s="6">
        <v>6370</v>
      </c>
      <c r="I4" s="6">
        <v>6890</v>
      </c>
      <c r="J4" s="6">
        <v>6910</v>
      </c>
      <c r="K4" s="6">
        <v>6090</v>
      </c>
      <c r="L4" s="6">
        <v>4930</v>
      </c>
      <c r="M4" s="6">
        <v>3710</v>
      </c>
      <c r="N4" s="6">
        <v>2380</v>
      </c>
      <c r="O4" s="6">
        <v>2070</v>
      </c>
    </row>
    <row r="5" spans="1:15">
      <c r="A5" s="3" t="s">
        <v>56</v>
      </c>
      <c r="B5" s="5" t="s">
        <v>61</v>
      </c>
      <c r="C5" s="5" t="s">
        <v>62</v>
      </c>
      <c r="D5" s="6">
        <v>2490</v>
      </c>
      <c r="E5" s="6">
        <v>3210</v>
      </c>
      <c r="F5" s="6">
        <v>4470</v>
      </c>
      <c r="G5" s="6">
        <v>5290</v>
      </c>
      <c r="H5" s="6">
        <v>6420</v>
      </c>
      <c r="I5" s="6">
        <v>6940</v>
      </c>
      <c r="J5" s="6">
        <v>6890</v>
      </c>
      <c r="K5" s="6">
        <v>6050</v>
      </c>
      <c r="L5" s="6">
        <v>4900</v>
      </c>
      <c r="M5" s="6">
        <v>3760</v>
      </c>
      <c r="N5" s="6">
        <v>2530</v>
      </c>
      <c r="O5" s="6">
        <v>2180</v>
      </c>
    </row>
    <row r="6" spans="1:15">
      <c r="A6" s="3" t="s">
        <v>45</v>
      </c>
      <c r="B6" s="5" t="s">
        <v>63</v>
      </c>
      <c r="C6" s="5" t="s">
        <v>64</v>
      </c>
      <c r="D6" s="6">
        <v>2000</v>
      </c>
      <c r="E6" s="6">
        <v>2780</v>
      </c>
      <c r="F6" s="6">
        <v>4560</v>
      </c>
      <c r="G6" s="6">
        <v>5240</v>
      </c>
      <c r="H6" s="6">
        <v>6590</v>
      </c>
      <c r="I6" s="6">
        <v>7280</v>
      </c>
      <c r="J6" s="6">
        <v>7390</v>
      </c>
      <c r="K6" s="6">
        <v>6550</v>
      </c>
      <c r="L6" s="6">
        <v>4950</v>
      </c>
      <c r="M6" s="6">
        <v>3400</v>
      </c>
      <c r="N6" s="6">
        <v>2120</v>
      </c>
      <c r="O6" s="6">
        <v>1600</v>
      </c>
    </row>
    <row r="7" spans="1:15">
      <c r="A7" s="3" t="s">
        <v>2</v>
      </c>
      <c r="B7" s="5" t="s">
        <v>65</v>
      </c>
      <c r="C7" s="5" t="s">
        <v>66</v>
      </c>
      <c r="D7" s="6">
        <v>2230</v>
      </c>
      <c r="E7" s="6">
        <v>2880</v>
      </c>
      <c r="F7" s="6">
        <v>4720</v>
      </c>
      <c r="G7" s="6">
        <v>5130</v>
      </c>
      <c r="H7" s="6">
        <v>6610</v>
      </c>
      <c r="I7" s="6">
        <v>7250</v>
      </c>
      <c r="J7" s="6">
        <v>7220</v>
      </c>
      <c r="K7" s="6">
        <v>6650</v>
      </c>
      <c r="L7" s="6">
        <v>5100</v>
      </c>
      <c r="M7" s="6">
        <v>3680</v>
      </c>
      <c r="N7" s="6">
        <v>2320</v>
      </c>
      <c r="O7" s="6">
        <v>1930</v>
      </c>
    </row>
    <row r="8" spans="1:15">
      <c r="A8" s="3" t="s">
        <v>3</v>
      </c>
      <c r="B8" s="5" t="s">
        <v>76</v>
      </c>
      <c r="C8" s="5" t="s">
        <v>67</v>
      </c>
      <c r="D8" s="6">
        <v>1890</v>
      </c>
      <c r="E8" s="6">
        <v>2560</v>
      </c>
      <c r="F8" s="6">
        <v>3910</v>
      </c>
      <c r="G8" s="6">
        <v>4900</v>
      </c>
      <c r="H8" s="6">
        <v>5840</v>
      </c>
      <c r="I8" s="6">
        <v>6550</v>
      </c>
      <c r="J8" s="6">
        <v>6580</v>
      </c>
      <c r="K8" s="6">
        <v>5780</v>
      </c>
      <c r="L8" s="6">
        <v>4530</v>
      </c>
      <c r="M8" s="6">
        <v>3160</v>
      </c>
      <c r="N8" s="6">
        <v>2040</v>
      </c>
      <c r="O8" s="6">
        <v>1680</v>
      </c>
    </row>
    <row r="9" spans="1:15">
      <c r="A9" s="3" t="s">
        <v>297</v>
      </c>
      <c r="B9" s="5" t="s">
        <v>137</v>
      </c>
      <c r="C9" s="5" t="s">
        <v>138</v>
      </c>
      <c r="D9" s="6">
        <v>1430</v>
      </c>
      <c r="E9" s="6">
        <v>2120</v>
      </c>
      <c r="F9" s="6">
        <v>3500</v>
      </c>
      <c r="G9" s="6">
        <v>4300</v>
      </c>
      <c r="H9" s="6">
        <v>5300</v>
      </c>
      <c r="I9" s="6">
        <v>5860</v>
      </c>
      <c r="J9" s="6">
        <v>5840</v>
      </c>
      <c r="K9" s="6">
        <v>5140</v>
      </c>
      <c r="L9" s="6">
        <v>4160</v>
      </c>
      <c r="M9" s="6">
        <v>2720</v>
      </c>
      <c r="N9" s="6">
        <v>1640</v>
      </c>
      <c r="O9" s="6">
        <v>1230</v>
      </c>
    </row>
    <row r="10" spans="1:15">
      <c r="A10" s="3" t="s">
        <v>4</v>
      </c>
      <c r="B10" s="5" t="s">
        <v>68</v>
      </c>
      <c r="C10" s="5" t="s">
        <v>69</v>
      </c>
      <c r="D10" s="6">
        <v>1700</v>
      </c>
      <c r="E10" s="6">
        <v>2530</v>
      </c>
      <c r="F10" s="6">
        <v>4060</v>
      </c>
      <c r="G10" s="6">
        <v>4880</v>
      </c>
      <c r="H10" s="6">
        <v>6010</v>
      </c>
      <c r="I10" s="6">
        <v>6670</v>
      </c>
      <c r="J10" s="6">
        <v>6750</v>
      </c>
      <c r="K10" s="6">
        <v>5900</v>
      </c>
      <c r="L10" s="6">
        <v>4620</v>
      </c>
      <c r="M10" s="6">
        <v>3100</v>
      </c>
      <c r="N10" s="6">
        <v>1880</v>
      </c>
      <c r="O10" s="6">
        <v>1370</v>
      </c>
    </row>
    <row r="11" spans="1:15">
      <c r="A11" s="3" t="s">
        <v>46</v>
      </c>
      <c r="B11" s="5" t="s">
        <v>70</v>
      </c>
      <c r="C11" s="5" t="s">
        <v>71</v>
      </c>
      <c r="D11" s="6">
        <v>2120</v>
      </c>
      <c r="E11" s="6">
        <v>2810</v>
      </c>
      <c r="F11" s="6">
        <v>4620</v>
      </c>
      <c r="G11" s="6">
        <v>5010</v>
      </c>
      <c r="H11" s="6">
        <v>6480</v>
      </c>
      <c r="I11" s="6">
        <v>7200</v>
      </c>
      <c r="J11" s="6">
        <v>7180</v>
      </c>
      <c r="K11" s="6">
        <v>6560</v>
      </c>
      <c r="L11" s="6">
        <v>4980</v>
      </c>
      <c r="M11" s="6">
        <v>3500</v>
      </c>
      <c r="N11" s="6">
        <v>2240</v>
      </c>
      <c r="O11" s="6">
        <v>1770</v>
      </c>
    </row>
    <row r="12" spans="1:15">
      <c r="A12" s="3" t="s">
        <v>47</v>
      </c>
      <c r="B12" s="5" t="s">
        <v>72</v>
      </c>
      <c r="C12" s="5" t="s">
        <v>73</v>
      </c>
      <c r="D12" s="6">
        <v>2550</v>
      </c>
      <c r="E12" s="6">
        <v>3160</v>
      </c>
      <c r="F12" s="6">
        <v>4590</v>
      </c>
      <c r="G12" s="6">
        <v>5400</v>
      </c>
      <c r="H12" s="6">
        <v>6760</v>
      </c>
      <c r="I12" s="6">
        <v>7280</v>
      </c>
      <c r="J12" s="6">
        <v>7160</v>
      </c>
      <c r="K12" s="6">
        <v>6530</v>
      </c>
      <c r="L12" s="6">
        <v>5200</v>
      </c>
      <c r="M12" s="6">
        <v>3930</v>
      </c>
      <c r="N12" s="6">
        <v>2540</v>
      </c>
      <c r="O12" s="6">
        <v>2140</v>
      </c>
    </row>
    <row r="13" spans="1:15">
      <c r="A13" s="3" t="s">
        <v>48</v>
      </c>
      <c r="B13" s="5" t="s">
        <v>74</v>
      </c>
      <c r="C13" s="5" t="s">
        <v>75</v>
      </c>
      <c r="D13" s="6">
        <v>1960</v>
      </c>
      <c r="E13" s="6">
        <v>2690</v>
      </c>
      <c r="F13" s="6">
        <v>3880</v>
      </c>
      <c r="G13" s="6">
        <v>4850</v>
      </c>
      <c r="H13" s="6">
        <v>5860</v>
      </c>
      <c r="I13" s="6">
        <v>6380</v>
      </c>
      <c r="J13" s="6">
        <v>6390</v>
      </c>
      <c r="K13" s="6">
        <v>5650</v>
      </c>
      <c r="L13" s="6">
        <v>4570</v>
      </c>
      <c r="M13" s="6">
        <v>3300</v>
      </c>
      <c r="N13" s="6">
        <v>2140</v>
      </c>
      <c r="O13" s="6">
        <v>1680</v>
      </c>
    </row>
    <row r="14" spans="1:15">
      <c r="A14" s="3" t="s">
        <v>5</v>
      </c>
      <c r="B14" s="5" t="s">
        <v>77</v>
      </c>
      <c r="C14" s="5" t="s">
        <v>78</v>
      </c>
      <c r="D14" s="6">
        <v>2530</v>
      </c>
      <c r="E14" s="6">
        <v>3110</v>
      </c>
      <c r="F14" s="6">
        <v>4480</v>
      </c>
      <c r="G14" s="6">
        <v>5270</v>
      </c>
      <c r="H14" s="6">
        <v>6550</v>
      </c>
      <c r="I14" s="6">
        <v>7130</v>
      </c>
      <c r="J14" s="6">
        <v>6850</v>
      </c>
      <c r="K14" s="6">
        <v>6260</v>
      </c>
      <c r="L14" s="6">
        <v>4960</v>
      </c>
      <c r="M14" s="6">
        <v>3850</v>
      </c>
      <c r="N14" s="6">
        <v>2470</v>
      </c>
      <c r="O14" s="6">
        <v>2160</v>
      </c>
    </row>
    <row r="15" spans="1:15">
      <c r="A15" s="3" t="s">
        <v>55</v>
      </c>
      <c r="B15" s="5" t="s">
        <v>79</v>
      </c>
      <c r="C15" s="5" t="s">
        <v>80</v>
      </c>
      <c r="D15" s="6">
        <v>2270</v>
      </c>
      <c r="E15" s="6">
        <v>2990</v>
      </c>
      <c r="F15" s="6">
        <v>4620</v>
      </c>
      <c r="G15" s="6">
        <v>5270</v>
      </c>
      <c r="H15" s="6">
        <v>6610</v>
      </c>
      <c r="I15" s="6">
        <v>7220</v>
      </c>
      <c r="J15" s="6">
        <v>7200</v>
      </c>
      <c r="K15" s="6">
        <v>6390</v>
      </c>
      <c r="L15" s="6">
        <v>5050</v>
      </c>
      <c r="M15" s="6">
        <v>3570</v>
      </c>
      <c r="N15" s="6">
        <v>2380</v>
      </c>
      <c r="O15" s="6">
        <v>1900</v>
      </c>
    </row>
    <row r="16" spans="1:15">
      <c r="A16" s="3" t="s">
        <v>49</v>
      </c>
      <c r="B16" s="5" t="s">
        <v>81</v>
      </c>
      <c r="C16" s="5" t="s">
        <v>82</v>
      </c>
      <c r="D16" s="6">
        <v>2440</v>
      </c>
      <c r="E16" s="6">
        <v>3110</v>
      </c>
      <c r="F16" s="6">
        <v>4590</v>
      </c>
      <c r="G16" s="6">
        <v>5180</v>
      </c>
      <c r="H16" s="6">
        <v>6620</v>
      </c>
      <c r="I16" s="6">
        <v>7180</v>
      </c>
      <c r="J16" s="6">
        <v>6970</v>
      </c>
      <c r="K16" s="6">
        <v>6150</v>
      </c>
      <c r="L16" s="6">
        <v>4920</v>
      </c>
      <c r="M16" s="6">
        <v>3680</v>
      </c>
      <c r="N16" s="6">
        <v>2430</v>
      </c>
      <c r="O16" s="6">
        <v>2030</v>
      </c>
    </row>
    <row r="17" spans="1:15">
      <c r="A17" s="3" t="s">
        <v>51</v>
      </c>
      <c r="B17" s="5" t="s">
        <v>97</v>
      </c>
      <c r="C17" s="5" t="s">
        <v>98</v>
      </c>
      <c r="D17" s="6">
        <v>1430</v>
      </c>
      <c r="E17" s="6">
        <v>2060</v>
      </c>
      <c r="F17" s="6">
        <v>3580</v>
      </c>
      <c r="G17" s="6">
        <v>4080</v>
      </c>
      <c r="H17" s="6">
        <v>4870</v>
      </c>
      <c r="I17" s="6">
        <v>5620</v>
      </c>
      <c r="J17" s="6">
        <v>5320</v>
      </c>
      <c r="K17" s="6">
        <v>4960</v>
      </c>
      <c r="L17" s="6">
        <v>3750</v>
      </c>
      <c r="M17" s="6">
        <v>2600</v>
      </c>
      <c r="N17" s="6">
        <v>1670</v>
      </c>
      <c r="O17" s="6">
        <v>1110</v>
      </c>
    </row>
    <row r="18" spans="1:15">
      <c r="A18" s="3" t="s">
        <v>6</v>
      </c>
      <c r="B18" s="5" t="s">
        <v>83</v>
      </c>
      <c r="C18" s="5" t="s">
        <v>84</v>
      </c>
      <c r="D18" s="6">
        <v>2170</v>
      </c>
      <c r="E18" s="6">
        <v>2890</v>
      </c>
      <c r="F18" s="6">
        <v>4470</v>
      </c>
      <c r="G18" s="6">
        <v>5290</v>
      </c>
      <c r="H18" s="6">
        <v>6550</v>
      </c>
      <c r="I18" s="6">
        <v>7080</v>
      </c>
      <c r="J18" s="6">
        <v>7140</v>
      </c>
      <c r="K18" s="6">
        <v>6300</v>
      </c>
      <c r="L18" s="6">
        <v>4990</v>
      </c>
      <c r="M18" s="6">
        <v>3510</v>
      </c>
      <c r="N18" s="6">
        <v>2290</v>
      </c>
      <c r="O18" s="6">
        <v>1850</v>
      </c>
    </row>
    <row r="19" spans="1:15">
      <c r="A19" s="3" t="s">
        <v>7</v>
      </c>
      <c r="B19" s="5" t="s">
        <v>85</v>
      </c>
      <c r="C19" s="5" t="s">
        <v>86</v>
      </c>
      <c r="D19" s="6">
        <v>1870</v>
      </c>
      <c r="E19" s="6">
        <v>2540</v>
      </c>
      <c r="F19" s="6">
        <v>3920</v>
      </c>
      <c r="G19" s="6">
        <v>4870</v>
      </c>
      <c r="H19" s="6">
        <v>5800</v>
      </c>
      <c r="I19" s="6">
        <v>6590</v>
      </c>
      <c r="J19" s="6">
        <v>6800</v>
      </c>
      <c r="K19" s="6">
        <v>5820</v>
      </c>
      <c r="L19" s="6">
        <v>4480</v>
      </c>
      <c r="M19" s="6">
        <v>3090</v>
      </c>
      <c r="N19" s="6">
        <v>1980</v>
      </c>
      <c r="O19" s="6">
        <v>1630</v>
      </c>
    </row>
    <row r="20" spans="1:15">
      <c r="A20" s="3" t="s">
        <v>8</v>
      </c>
      <c r="B20" s="5" t="s">
        <v>87</v>
      </c>
      <c r="C20" s="5" t="s">
        <v>88</v>
      </c>
      <c r="D20" s="6">
        <v>2600</v>
      </c>
      <c r="E20" s="6">
        <v>3250</v>
      </c>
      <c r="F20" s="6">
        <v>4730</v>
      </c>
      <c r="G20" s="6">
        <v>5460</v>
      </c>
      <c r="H20" s="6">
        <v>6750</v>
      </c>
      <c r="I20" s="6">
        <v>7260</v>
      </c>
      <c r="J20" s="6">
        <v>7180</v>
      </c>
      <c r="K20" s="6">
        <v>6270</v>
      </c>
      <c r="L20" s="6">
        <v>5050</v>
      </c>
      <c r="M20" s="6">
        <v>3900</v>
      </c>
      <c r="N20" s="6">
        <v>2560</v>
      </c>
      <c r="O20" s="6">
        <v>2200</v>
      </c>
    </row>
    <row r="21" spans="1:15">
      <c r="A21" s="3" t="s">
        <v>9</v>
      </c>
      <c r="B21" s="5" t="s">
        <v>89</v>
      </c>
      <c r="C21" s="5" t="s">
        <v>90</v>
      </c>
      <c r="D21" s="6">
        <v>1990</v>
      </c>
      <c r="E21" s="6">
        <v>2720</v>
      </c>
      <c r="F21" s="6">
        <v>4420</v>
      </c>
      <c r="G21" s="6">
        <v>5150</v>
      </c>
      <c r="H21" s="6">
        <v>6520</v>
      </c>
      <c r="I21" s="6">
        <v>7180</v>
      </c>
      <c r="J21" s="6">
        <v>7270</v>
      </c>
      <c r="K21" s="6">
        <v>6340</v>
      </c>
      <c r="L21" s="6">
        <v>4930</v>
      </c>
      <c r="M21" s="6">
        <v>3360</v>
      </c>
      <c r="N21" s="6">
        <v>2150</v>
      </c>
      <c r="O21" s="6">
        <v>1640</v>
      </c>
    </row>
    <row r="22" spans="1:15">
      <c r="A22" s="3" t="s">
        <v>10</v>
      </c>
      <c r="B22" s="5" t="s">
        <v>91</v>
      </c>
      <c r="C22" s="5" t="s">
        <v>92</v>
      </c>
      <c r="D22" s="6">
        <v>2510</v>
      </c>
      <c r="E22" s="6">
        <v>3090</v>
      </c>
      <c r="F22" s="6">
        <v>4590</v>
      </c>
      <c r="G22" s="6">
        <v>5390</v>
      </c>
      <c r="H22" s="6">
        <v>6840</v>
      </c>
      <c r="I22" s="6">
        <v>7240</v>
      </c>
      <c r="J22" s="6">
        <v>7270</v>
      </c>
      <c r="K22" s="6">
        <v>6570</v>
      </c>
      <c r="L22" s="6">
        <v>5240</v>
      </c>
      <c r="M22" s="6">
        <v>3980</v>
      </c>
      <c r="N22" s="6">
        <v>2550</v>
      </c>
      <c r="O22" s="6">
        <v>2120</v>
      </c>
    </row>
    <row r="23" spans="1:15">
      <c r="A23" s="3" t="s">
        <v>11</v>
      </c>
      <c r="B23" s="5" t="s">
        <v>93</v>
      </c>
      <c r="C23" s="5" t="s">
        <v>94</v>
      </c>
      <c r="D23" s="6">
        <v>1720</v>
      </c>
      <c r="E23" s="6">
        <v>2470</v>
      </c>
      <c r="F23" s="6">
        <v>3840</v>
      </c>
      <c r="G23" s="6">
        <v>4680</v>
      </c>
      <c r="H23" s="6">
        <v>5620</v>
      </c>
      <c r="I23" s="6">
        <v>6310</v>
      </c>
      <c r="J23" s="6">
        <v>6340</v>
      </c>
      <c r="K23" s="6">
        <v>5580</v>
      </c>
      <c r="L23" s="6">
        <v>4580</v>
      </c>
      <c r="M23" s="6">
        <v>3040</v>
      </c>
      <c r="N23" s="6">
        <v>1970</v>
      </c>
      <c r="O23" s="6">
        <v>1530</v>
      </c>
    </row>
    <row r="24" spans="1:15">
      <c r="A24" s="3" t="s">
        <v>50</v>
      </c>
      <c r="B24" s="5" t="s">
        <v>95</v>
      </c>
      <c r="C24" s="5" t="s">
        <v>96</v>
      </c>
      <c r="D24" s="6">
        <v>2470</v>
      </c>
      <c r="E24" s="6">
        <v>3180</v>
      </c>
      <c r="F24" s="6">
        <v>4720</v>
      </c>
      <c r="G24" s="6">
        <v>5340</v>
      </c>
      <c r="H24" s="6">
        <v>6620</v>
      </c>
      <c r="I24" s="6">
        <v>7180</v>
      </c>
      <c r="J24" s="6">
        <v>7040</v>
      </c>
      <c r="K24" s="6">
        <v>6220</v>
      </c>
      <c r="L24" s="6">
        <v>4980</v>
      </c>
      <c r="M24" s="6">
        <v>3770</v>
      </c>
      <c r="N24" s="6">
        <v>2500</v>
      </c>
      <c r="O24" s="6">
        <v>2100</v>
      </c>
    </row>
    <row r="25" spans="1:15">
      <c r="A25" s="3" t="s">
        <v>210</v>
      </c>
      <c r="B25" s="5" t="s">
        <v>146</v>
      </c>
      <c r="C25" s="5" t="s">
        <v>145</v>
      </c>
      <c r="D25" s="6">
        <v>4050</v>
      </c>
      <c r="E25" s="6">
        <v>4780</v>
      </c>
      <c r="F25" s="6">
        <v>5800</v>
      </c>
      <c r="G25" s="6">
        <v>6600</v>
      </c>
      <c r="H25" s="6">
        <v>7160</v>
      </c>
      <c r="I25" s="6">
        <v>7220</v>
      </c>
      <c r="J25" s="6">
        <v>6990</v>
      </c>
      <c r="K25" s="6">
        <v>6910</v>
      </c>
      <c r="L25" s="6">
        <v>6250</v>
      </c>
      <c r="M25" s="6">
        <v>5270</v>
      </c>
      <c r="N25" s="6">
        <v>4170</v>
      </c>
      <c r="O25" s="6">
        <v>3720</v>
      </c>
    </row>
    <row r="26" spans="1:15">
      <c r="A26" s="3" t="s">
        <v>52</v>
      </c>
      <c r="B26" s="5" t="s">
        <v>99</v>
      </c>
      <c r="C26" s="5" t="s">
        <v>100</v>
      </c>
      <c r="D26" s="6">
        <v>1680</v>
      </c>
      <c r="E26" s="6">
        <v>2410</v>
      </c>
      <c r="F26" s="6">
        <v>3900</v>
      </c>
      <c r="G26" s="6">
        <v>4610</v>
      </c>
      <c r="H26" s="6">
        <v>5530</v>
      </c>
      <c r="I26" s="6">
        <v>6260</v>
      </c>
      <c r="J26" s="6">
        <v>6280</v>
      </c>
      <c r="K26" s="6">
        <v>5630</v>
      </c>
      <c r="L26" s="6">
        <v>4380</v>
      </c>
      <c r="M26" s="6">
        <v>2920</v>
      </c>
      <c r="N26" s="6">
        <v>1830</v>
      </c>
      <c r="O26" s="6">
        <v>1320</v>
      </c>
    </row>
    <row r="27" spans="1:15">
      <c r="A27" s="3" t="s">
        <v>53</v>
      </c>
      <c r="B27" s="5" t="s">
        <v>101</v>
      </c>
      <c r="C27" s="5" t="s">
        <v>102</v>
      </c>
      <c r="D27" s="6">
        <v>1820</v>
      </c>
      <c r="E27" s="6">
        <v>2550</v>
      </c>
      <c r="F27" s="6">
        <v>3890</v>
      </c>
      <c r="G27" s="6">
        <v>4800</v>
      </c>
      <c r="H27" s="6">
        <v>5730</v>
      </c>
      <c r="I27" s="6">
        <v>6320</v>
      </c>
      <c r="J27" s="6">
        <v>6380</v>
      </c>
      <c r="K27" s="6">
        <v>5610</v>
      </c>
      <c r="L27" s="6">
        <v>4520</v>
      </c>
      <c r="M27" s="6">
        <v>3090</v>
      </c>
      <c r="N27" s="6">
        <v>2020</v>
      </c>
      <c r="O27" s="6">
        <v>1590</v>
      </c>
    </row>
    <row r="28" spans="1:15">
      <c r="A28" s="3" t="s">
        <v>211</v>
      </c>
      <c r="B28" s="5" t="s">
        <v>216</v>
      </c>
      <c r="C28" s="5" t="s">
        <v>217</v>
      </c>
      <c r="D28" s="6">
        <v>1650</v>
      </c>
      <c r="E28" s="6">
        <v>2400</v>
      </c>
      <c r="F28" s="6">
        <v>3860</v>
      </c>
      <c r="G28" s="6">
        <v>4660</v>
      </c>
      <c r="H28" s="6">
        <v>5770</v>
      </c>
      <c r="I28" s="6">
        <v>6400</v>
      </c>
      <c r="J28" s="6">
        <v>6410</v>
      </c>
      <c r="K28" s="6">
        <v>5660</v>
      </c>
      <c r="L28" s="6">
        <v>4470</v>
      </c>
      <c r="M28" s="6">
        <v>2970</v>
      </c>
      <c r="N28" s="6">
        <v>1840</v>
      </c>
      <c r="O28" s="6">
        <v>1390</v>
      </c>
    </row>
    <row r="29" spans="1:15">
      <c r="A29" s="3" t="s">
        <v>12</v>
      </c>
      <c r="B29" s="5" t="s">
        <v>103</v>
      </c>
      <c r="C29" s="5" t="s">
        <v>104</v>
      </c>
      <c r="D29" s="6">
        <v>1560</v>
      </c>
      <c r="E29" s="6">
        <v>2200</v>
      </c>
      <c r="F29" s="6">
        <v>3680</v>
      </c>
      <c r="G29" s="6">
        <v>4220</v>
      </c>
      <c r="H29" s="6">
        <v>5040</v>
      </c>
      <c r="I29" s="6">
        <v>5780</v>
      </c>
      <c r="J29" s="6">
        <v>5600</v>
      </c>
      <c r="K29" s="6">
        <v>5190</v>
      </c>
      <c r="L29" s="6">
        <v>3990</v>
      </c>
      <c r="M29" s="6">
        <v>2740</v>
      </c>
      <c r="N29" s="6">
        <v>1750</v>
      </c>
      <c r="O29" s="6">
        <v>1240</v>
      </c>
    </row>
    <row r="30" spans="1:15">
      <c r="A30" s="3" t="s">
        <v>13</v>
      </c>
      <c r="B30" s="5" t="s">
        <v>105</v>
      </c>
      <c r="C30" s="5" t="s">
        <v>106</v>
      </c>
      <c r="D30" s="6">
        <v>2000</v>
      </c>
      <c r="E30" s="6">
        <v>2730</v>
      </c>
      <c r="F30" s="6">
        <v>4480</v>
      </c>
      <c r="G30" s="6">
        <v>5170</v>
      </c>
      <c r="H30" s="6">
        <v>6580</v>
      </c>
      <c r="I30" s="6">
        <v>7240</v>
      </c>
      <c r="J30" s="6">
        <v>7320</v>
      </c>
      <c r="K30" s="6">
        <v>6410</v>
      </c>
      <c r="L30" s="6">
        <v>4970</v>
      </c>
      <c r="M30" s="6">
        <v>3360</v>
      </c>
      <c r="N30" s="6">
        <v>2150</v>
      </c>
      <c r="O30" s="6">
        <v>1640</v>
      </c>
    </row>
    <row r="31" spans="1:15">
      <c r="A31" s="3" t="s">
        <v>54</v>
      </c>
      <c r="B31" s="5" t="s">
        <v>107</v>
      </c>
      <c r="C31" s="5" t="s">
        <v>108</v>
      </c>
      <c r="D31" s="6">
        <v>2490</v>
      </c>
      <c r="E31" s="6">
        <v>3130</v>
      </c>
      <c r="F31" s="6">
        <v>4400</v>
      </c>
      <c r="G31" s="6">
        <v>5170</v>
      </c>
      <c r="H31" s="6">
        <v>6460</v>
      </c>
      <c r="I31" s="6">
        <v>7110</v>
      </c>
      <c r="J31" s="6">
        <v>6880</v>
      </c>
      <c r="K31" s="6">
        <v>6040</v>
      </c>
      <c r="L31" s="6">
        <v>4840</v>
      </c>
      <c r="M31" s="6">
        <v>3790</v>
      </c>
      <c r="N31" s="6">
        <v>2430</v>
      </c>
      <c r="O31" s="6">
        <v>2070</v>
      </c>
    </row>
    <row r="32" spans="1:15">
      <c r="A32" s="3" t="s">
        <v>14</v>
      </c>
      <c r="B32" s="5" t="s">
        <v>109</v>
      </c>
      <c r="C32" s="5" t="s">
        <v>110</v>
      </c>
      <c r="D32" s="6">
        <v>2610</v>
      </c>
      <c r="E32" s="6">
        <v>3340</v>
      </c>
      <c r="F32" s="6">
        <v>4530</v>
      </c>
      <c r="G32" s="6">
        <v>5370</v>
      </c>
      <c r="H32" s="6">
        <v>6530</v>
      </c>
      <c r="I32" s="6">
        <v>7010</v>
      </c>
      <c r="J32" s="6">
        <v>6890</v>
      </c>
      <c r="K32" s="6">
        <v>6050</v>
      </c>
      <c r="L32" s="6">
        <v>4930</v>
      </c>
      <c r="M32" s="6">
        <v>3920</v>
      </c>
      <c r="N32" s="6">
        <v>2680</v>
      </c>
      <c r="O32" s="6">
        <v>2370</v>
      </c>
    </row>
    <row r="33" spans="1:15">
      <c r="A33" s="3" t="s">
        <v>15</v>
      </c>
      <c r="B33" s="5" t="s">
        <v>111</v>
      </c>
      <c r="C33" s="5" t="s">
        <v>112</v>
      </c>
      <c r="D33" s="6">
        <v>2440</v>
      </c>
      <c r="E33" s="6">
        <v>3210</v>
      </c>
      <c r="F33" s="6">
        <v>4550</v>
      </c>
      <c r="G33" s="6">
        <v>5410</v>
      </c>
      <c r="H33" s="6">
        <v>6480</v>
      </c>
      <c r="I33" s="6">
        <v>7000</v>
      </c>
      <c r="J33" s="6">
        <v>7050</v>
      </c>
      <c r="K33" s="6">
        <v>6150</v>
      </c>
      <c r="L33" s="6">
        <v>5000</v>
      </c>
      <c r="M33" s="6">
        <v>3750</v>
      </c>
      <c r="N33" s="6">
        <v>2470</v>
      </c>
      <c r="O33" s="6">
        <v>2160</v>
      </c>
    </row>
    <row r="34" spans="1:15">
      <c r="A34" s="3" t="s">
        <v>229</v>
      </c>
      <c r="B34" s="5" t="s">
        <v>113</v>
      </c>
      <c r="C34" s="5" t="s">
        <v>114</v>
      </c>
      <c r="D34" s="6">
        <v>1690</v>
      </c>
      <c r="E34" s="6">
        <v>2330</v>
      </c>
      <c r="F34" s="6">
        <v>3860</v>
      </c>
      <c r="G34" s="6">
        <v>4460</v>
      </c>
      <c r="H34" s="6">
        <v>5370</v>
      </c>
      <c r="I34" s="6">
        <v>6220</v>
      </c>
      <c r="J34" s="6">
        <v>6000</v>
      </c>
      <c r="K34" s="6">
        <v>5560</v>
      </c>
      <c r="L34" s="6">
        <v>4280</v>
      </c>
      <c r="M34" s="6">
        <v>2910</v>
      </c>
      <c r="N34" s="6">
        <v>1830</v>
      </c>
      <c r="O34" s="6">
        <v>1290</v>
      </c>
    </row>
    <row r="35" spans="1:15">
      <c r="A35" s="3" t="s">
        <v>212</v>
      </c>
      <c r="B35" s="5" t="s">
        <v>218</v>
      </c>
      <c r="C35" s="5" t="s">
        <v>219</v>
      </c>
      <c r="D35" s="6">
        <v>1510</v>
      </c>
      <c r="E35" s="6">
        <v>2090</v>
      </c>
      <c r="F35" s="6">
        <v>3440</v>
      </c>
      <c r="G35" s="6">
        <v>4070</v>
      </c>
      <c r="H35" s="6">
        <v>4850</v>
      </c>
      <c r="I35" s="6">
        <v>5340</v>
      </c>
      <c r="J35" s="6">
        <v>5230</v>
      </c>
      <c r="K35" s="6">
        <v>4730</v>
      </c>
      <c r="L35" s="6">
        <v>3850</v>
      </c>
      <c r="M35" s="6">
        <v>2580</v>
      </c>
      <c r="N35" s="6">
        <v>1670</v>
      </c>
      <c r="O35" s="6">
        <v>1230</v>
      </c>
    </row>
    <row r="36" spans="1:15">
      <c r="A36" s="3" t="s">
        <v>16</v>
      </c>
      <c r="B36" s="5" t="s">
        <v>115</v>
      </c>
      <c r="C36" s="5" t="s">
        <v>116</v>
      </c>
      <c r="D36" s="6">
        <v>1710</v>
      </c>
      <c r="E36" s="6">
        <v>2550</v>
      </c>
      <c r="F36" s="6">
        <v>4100</v>
      </c>
      <c r="G36" s="6">
        <v>4910</v>
      </c>
      <c r="H36" s="6">
        <v>6000</v>
      </c>
      <c r="I36" s="6">
        <v>6720</v>
      </c>
      <c r="J36" s="6">
        <v>6800</v>
      </c>
      <c r="K36" s="6">
        <v>5990</v>
      </c>
      <c r="L36" s="6">
        <v>4620</v>
      </c>
      <c r="M36" s="6">
        <v>3130</v>
      </c>
      <c r="N36" s="6">
        <v>1890</v>
      </c>
      <c r="O36" s="6">
        <v>1330</v>
      </c>
    </row>
    <row r="37" spans="1:15">
      <c r="A37" s="3" t="s">
        <v>214</v>
      </c>
      <c r="B37" s="5" t="s">
        <v>220</v>
      </c>
      <c r="C37" s="5" t="s">
        <v>221</v>
      </c>
      <c r="D37" s="6">
        <v>2060</v>
      </c>
      <c r="E37" s="6">
        <v>2730</v>
      </c>
      <c r="F37" s="6">
        <v>4010</v>
      </c>
      <c r="G37" s="6">
        <v>5120</v>
      </c>
      <c r="H37" s="6">
        <v>6180</v>
      </c>
      <c r="I37" s="6">
        <v>6720</v>
      </c>
      <c r="J37" s="6">
        <v>6730</v>
      </c>
      <c r="K37" s="6">
        <v>5930</v>
      </c>
      <c r="L37" s="6">
        <v>4650</v>
      </c>
      <c r="M37" s="6">
        <v>3410</v>
      </c>
      <c r="N37" s="6">
        <v>2220</v>
      </c>
      <c r="O37" s="6">
        <v>1810</v>
      </c>
    </row>
    <row r="38" spans="1:15">
      <c r="A38" s="3" t="s">
        <v>213</v>
      </c>
      <c r="B38" s="5" t="s">
        <v>222</v>
      </c>
      <c r="C38" s="5" t="s">
        <v>223</v>
      </c>
      <c r="D38" s="6">
        <v>1560</v>
      </c>
      <c r="E38" s="6">
        <v>2330</v>
      </c>
      <c r="F38" s="6">
        <v>3700</v>
      </c>
      <c r="G38" s="6">
        <v>4590</v>
      </c>
      <c r="H38" s="6">
        <v>5550</v>
      </c>
      <c r="I38" s="6">
        <v>6280</v>
      </c>
      <c r="J38" s="6">
        <v>6260</v>
      </c>
      <c r="K38" s="6">
        <v>5570</v>
      </c>
      <c r="L38" s="6">
        <v>4480</v>
      </c>
      <c r="M38" s="6">
        <v>2950</v>
      </c>
      <c r="N38" s="6">
        <v>1830</v>
      </c>
      <c r="O38" s="6">
        <v>1380</v>
      </c>
    </row>
    <row r="39" spans="1:15">
      <c r="A39" s="3" t="s">
        <v>17</v>
      </c>
      <c r="B39" s="5" t="s">
        <v>117</v>
      </c>
      <c r="C39" s="5" t="s">
        <v>118</v>
      </c>
      <c r="D39" s="6">
        <v>1740</v>
      </c>
      <c r="E39" s="6">
        <v>2400</v>
      </c>
      <c r="F39" s="6">
        <v>3920</v>
      </c>
      <c r="G39" s="6">
        <v>4680</v>
      </c>
      <c r="H39" s="6">
        <v>5600</v>
      </c>
      <c r="I39" s="6">
        <v>6510</v>
      </c>
      <c r="J39" s="6">
        <v>6060</v>
      </c>
      <c r="K39" s="6">
        <v>5780</v>
      </c>
      <c r="L39" s="6">
        <v>4380</v>
      </c>
      <c r="M39" s="6">
        <v>3020</v>
      </c>
      <c r="N39" s="6">
        <v>1930</v>
      </c>
      <c r="O39" s="6">
        <v>1310</v>
      </c>
    </row>
    <row r="40" spans="1:15">
      <c r="A40" s="3" t="s">
        <v>18</v>
      </c>
      <c r="B40" s="5" t="s">
        <v>119</v>
      </c>
      <c r="C40" s="5" t="s">
        <v>120</v>
      </c>
      <c r="D40" s="6">
        <v>1900</v>
      </c>
      <c r="E40" s="6">
        <v>2690</v>
      </c>
      <c r="F40" s="6">
        <v>4410</v>
      </c>
      <c r="G40" s="6">
        <v>4960</v>
      </c>
      <c r="H40" s="6">
        <v>6300</v>
      </c>
      <c r="I40" s="6">
        <v>7150</v>
      </c>
      <c r="J40" s="6">
        <v>7210</v>
      </c>
      <c r="K40" s="6">
        <v>6470</v>
      </c>
      <c r="L40" s="6">
        <v>4850</v>
      </c>
      <c r="M40" s="6">
        <v>3240</v>
      </c>
      <c r="N40" s="6">
        <v>2010</v>
      </c>
      <c r="O40" s="6">
        <v>1460</v>
      </c>
    </row>
    <row r="41" spans="1:15">
      <c r="A41" s="3" t="s">
        <v>298</v>
      </c>
      <c r="B41" s="5" t="s">
        <v>300</v>
      </c>
      <c r="C41" s="5" t="s">
        <v>301</v>
      </c>
      <c r="D41" s="6">
        <v>1410</v>
      </c>
      <c r="E41" s="6">
        <v>2130</v>
      </c>
      <c r="F41" s="6">
        <v>3450</v>
      </c>
      <c r="G41" s="6">
        <v>4340</v>
      </c>
      <c r="H41" s="6">
        <v>5300</v>
      </c>
      <c r="I41" s="6">
        <v>5910</v>
      </c>
      <c r="J41" s="6">
        <v>5880</v>
      </c>
      <c r="K41" s="6">
        <v>5230</v>
      </c>
      <c r="L41" s="6">
        <v>4230</v>
      </c>
      <c r="M41" s="6">
        <v>2730</v>
      </c>
      <c r="N41" s="6">
        <v>1670</v>
      </c>
      <c r="O41" s="6">
        <v>1250</v>
      </c>
    </row>
    <row r="42" spans="1:15">
      <c r="A42" s="3" t="s">
        <v>19</v>
      </c>
      <c r="B42" s="5" t="s">
        <v>149</v>
      </c>
      <c r="C42" s="5" t="s">
        <v>150</v>
      </c>
      <c r="D42" s="6">
        <v>4030</v>
      </c>
      <c r="E42" s="6">
        <v>4800</v>
      </c>
      <c r="F42" s="6">
        <v>5810</v>
      </c>
      <c r="G42" s="6">
        <v>6690</v>
      </c>
      <c r="H42" s="6">
        <v>7190</v>
      </c>
      <c r="I42" s="6">
        <v>7310</v>
      </c>
      <c r="J42" s="6">
        <v>7140</v>
      </c>
      <c r="K42" s="6">
        <v>6970</v>
      </c>
      <c r="L42" s="6">
        <v>6320</v>
      </c>
      <c r="M42" s="6">
        <v>5290</v>
      </c>
      <c r="N42" s="6">
        <v>4170</v>
      </c>
      <c r="O42" s="6">
        <v>3700</v>
      </c>
    </row>
    <row r="43" spans="1:15">
      <c r="A43" s="3" t="s">
        <v>215</v>
      </c>
      <c r="B43" s="5" t="s">
        <v>224</v>
      </c>
      <c r="C43" s="5" t="s">
        <v>225</v>
      </c>
      <c r="D43" s="6">
        <v>1420</v>
      </c>
      <c r="E43" s="6">
        <v>2060</v>
      </c>
      <c r="F43" s="6">
        <v>3450</v>
      </c>
      <c r="G43" s="6">
        <v>4170</v>
      </c>
      <c r="H43" s="6">
        <v>5120</v>
      </c>
      <c r="I43" s="6">
        <v>5550</v>
      </c>
      <c r="J43" s="6">
        <v>5550</v>
      </c>
      <c r="K43" s="6">
        <v>4900</v>
      </c>
      <c r="L43" s="6">
        <v>3970</v>
      </c>
      <c r="M43" s="6">
        <v>2630</v>
      </c>
      <c r="N43" s="6">
        <v>1590</v>
      </c>
      <c r="O43" s="6">
        <v>1220</v>
      </c>
    </row>
    <row r="44" spans="1:15">
      <c r="A44" s="3" t="s">
        <v>20</v>
      </c>
      <c r="B44" s="5" t="s">
        <v>121</v>
      </c>
      <c r="C44" s="5" t="s">
        <v>122</v>
      </c>
      <c r="D44" s="6">
        <v>1940</v>
      </c>
      <c r="E44" s="6">
        <v>2720</v>
      </c>
      <c r="F44" s="6">
        <v>4440</v>
      </c>
      <c r="G44" s="6">
        <v>5220</v>
      </c>
      <c r="H44" s="6">
        <v>6480</v>
      </c>
      <c r="I44" s="6">
        <v>7240</v>
      </c>
      <c r="J44" s="6">
        <v>7380</v>
      </c>
      <c r="K44" s="6">
        <v>6470</v>
      </c>
      <c r="L44" s="6">
        <v>4960</v>
      </c>
      <c r="M44" s="6">
        <v>3370</v>
      </c>
      <c r="N44" s="6">
        <v>2120</v>
      </c>
      <c r="O44" s="6">
        <v>1560</v>
      </c>
    </row>
    <row r="45" spans="1:15">
      <c r="A45" s="3" t="s">
        <v>21</v>
      </c>
      <c r="B45" s="5" t="s">
        <v>123</v>
      </c>
      <c r="C45" s="5" t="s">
        <v>124</v>
      </c>
      <c r="D45" s="6">
        <v>2440</v>
      </c>
      <c r="E45" s="6">
        <v>3080</v>
      </c>
      <c r="F45" s="6">
        <v>4570</v>
      </c>
      <c r="G45" s="6">
        <v>5240</v>
      </c>
      <c r="H45" s="6">
        <v>6750</v>
      </c>
      <c r="I45" s="6">
        <v>7260</v>
      </c>
      <c r="J45" s="6">
        <v>7040</v>
      </c>
      <c r="K45" s="6">
        <v>6350</v>
      </c>
      <c r="L45" s="6">
        <v>5070</v>
      </c>
      <c r="M45" s="6">
        <v>3830</v>
      </c>
      <c r="N45" s="6">
        <v>2480</v>
      </c>
      <c r="O45" s="6">
        <v>2070</v>
      </c>
    </row>
    <row r="46" spans="1:15">
      <c r="A46" s="3" t="s">
        <v>22</v>
      </c>
      <c r="B46" s="5" t="s">
        <v>125</v>
      </c>
      <c r="C46" s="5" t="s">
        <v>126</v>
      </c>
      <c r="D46" s="6">
        <v>1880</v>
      </c>
      <c r="E46" s="6">
        <v>2670</v>
      </c>
      <c r="F46" s="6">
        <v>4260</v>
      </c>
      <c r="G46" s="6">
        <v>5130</v>
      </c>
      <c r="H46" s="6">
        <v>6350</v>
      </c>
      <c r="I46" s="6">
        <v>6960</v>
      </c>
      <c r="J46" s="6">
        <v>7000</v>
      </c>
      <c r="K46" s="6">
        <v>6100</v>
      </c>
      <c r="L46" s="6">
        <v>4790</v>
      </c>
      <c r="M46" s="6">
        <v>3260</v>
      </c>
      <c r="N46" s="6">
        <v>2060</v>
      </c>
      <c r="O46" s="6">
        <v>1560</v>
      </c>
    </row>
    <row r="47" spans="1:15">
      <c r="A47" s="3" t="s">
        <v>23</v>
      </c>
      <c r="B47" s="5" t="s">
        <v>127</v>
      </c>
      <c r="C47" s="5" t="s">
        <v>128</v>
      </c>
      <c r="D47" s="6">
        <v>1890</v>
      </c>
      <c r="E47" s="6">
        <v>2580</v>
      </c>
      <c r="F47" s="6">
        <v>3920</v>
      </c>
      <c r="G47" s="6">
        <v>4860</v>
      </c>
      <c r="H47" s="6">
        <v>5850</v>
      </c>
      <c r="I47" s="6">
        <v>6430</v>
      </c>
      <c r="J47" s="6">
        <v>6470</v>
      </c>
      <c r="K47" s="6">
        <v>5700</v>
      </c>
      <c r="L47" s="6">
        <v>4500</v>
      </c>
      <c r="M47" s="6">
        <v>3180</v>
      </c>
      <c r="N47" s="6">
        <v>2080</v>
      </c>
      <c r="O47" s="6">
        <v>1650</v>
      </c>
    </row>
    <row r="48" spans="1:15">
      <c r="A48" s="3" t="s">
        <v>24</v>
      </c>
      <c r="B48" s="5" t="s">
        <v>129</v>
      </c>
      <c r="C48" s="5" t="s">
        <v>130</v>
      </c>
      <c r="D48" s="6">
        <v>2140</v>
      </c>
      <c r="E48" s="6">
        <v>2870</v>
      </c>
      <c r="F48" s="6">
        <v>4380</v>
      </c>
      <c r="G48" s="6">
        <v>5320</v>
      </c>
      <c r="H48" s="6">
        <v>6470</v>
      </c>
      <c r="I48" s="6">
        <v>6980</v>
      </c>
      <c r="J48" s="6">
        <v>6990</v>
      </c>
      <c r="K48" s="6">
        <v>6130</v>
      </c>
      <c r="L48" s="6">
        <v>4860</v>
      </c>
      <c r="M48" s="6">
        <v>3440</v>
      </c>
      <c r="N48" s="6">
        <v>2260</v>
      </c>
      <c r="O48" s="6">
        <v>1820</v>
      </c>
    </row>
    <row r="49" spans="1:15">
      <c r="A49" s="3" t="s">
        <v>25</v>
      </c>
      <c r="B49" s="5" t="s">
        <v>131</v>
      </c>
      <c r="C49" s="5" t="s">
        <v>132</v>
      </c>
      <c r="D49" s="6">
        <v>2100</v>
      </c>
      <c r="E49" s="6">
        <v>2780</v>
      </c>
      <c r="F49" s="6">
        <v>4550</v>
      </c>
      <c r="G49" s="6">
        <v>5170</v>
      </c>
      <c r="H49" s="6">
        <v>6550</v>
      </c>
      <c r="I49" s="6">
        <v>7240</v>
      </c>
      <c r="J49" s="6">
        <v>7290</v>
      </c>
      <c r="K49" s="6">
        <v>6380</v>
      </c>
      <c r="L49" s="6">
        <v>4950</v>
      </c>
      <c r="M49" s="6">
        <v>3400</v>
      </c>
      <c r="N49" s="6">
        <v>2190</v>
      </c>
      <c r="O49" s="6">
        <v>1710</v>
      </c>
    </row>
    <row r="50" spans="1:15">
      <c r="A50" s="3" t="s">
        <v>26</v>
      </c>
      <c r="B50" s="5" t="s">
        <v>133</v>
      </c>
      <c r="C50" s="5" t="s">
        <v>134</v>
      </c>
      <c r="D50" s="6">
        <v>2020</v>
      </c>
      <c r="E50" s="6">
        <v>2780</v>
      </c>
      <c r="F50" s="6">
        <v>3890</v>
      </c>
      <c r="G50" s="6">
        <v>4880</v>
      </c>
      <c r="H50" s="6">
        <v>5910</v>
      </c>
      <c r="I50" s="6">
        <v>6420</v>
      </c>
      <c r="J50" s="6">
        <v>6390</v>
      </c>
      <c r="K50" s="6">
        <v>5700</v>
      </c>
      <c r="L50" s="6">
        <v>4630</v>
      </c>
      <c r="M50" s="6">
        <v>3400</v>
      </c>
      <c r="N50" s="6">
        <v>2190</v>
      </c>
      <c r="O50" s="6">
        <v>1740</v>
      </c>
    </row>
    <row r="51" spans="1:15">
      <c r="A51" s="3" t="s">
        <v>27</v>
      </c>
      <c r="B51" s="5" t="s">
        <v>135</v>
      </c>
      <c r="C51" s="5" t="s">
        <v>136</v>
      </c>
      <c r="D51" s="6">
        <v>1750</v>
      </c>
      <c r="E51" s="6">
        <v>2600</v>
      </c>
      <c r="F51" s="6">
        <v>4170</v>
      </c>
      <c r="G51" s="6">
        <v>4970</v>
      </c>
      <c r="H51" s="6">
        <v>6120</v>
      </c>
      <c r="I51" s="6">
        <v>6890</v>
      </c>
      <c r="J51" s="6">
        <v>6990</v>
      </c>
      <c r="K51" s="6">
        <v>6140</v>
      </c>
      <c r="L51" s="6">
        <v>4710</v>
      </c>
      <c r="M51" s="6">
        <v>3190</v>
      </c>
      <c r="N51" s="6">
        <v>1940</v>
      </c>
      <c r="O51" s="6">
        <v>1360</v>
      </c>
    </row>
    <row r="52" spans="1:15">
      <c r="A52" s="3" t="s">
        <v>299</v>
      </c>
      <c r="B52" s="5" t="s">
        <v>302</v>
      </c>
      <c r="C52" s="5" t="s">
        <v>303</v>
      </c>
      <c r="D52" s="6">
        <v>1590</v>
      </c>
      <c r="E52" s="6">
        <v>2320</v>
      </c>
      <c r="F52" s="6">
        <v>3750</v>
      </c>
      <c r="G52" s="6">
        <v>4550</v>
      </c>
      <c r="H52" s="6">
        <v>5630</v>
      </c>
      <c r="I52" s="6">
        <v>6290</v>
      </c>
      <c r="J52" s="6">
        <v>6310</v>
      </c>
      <c r="K52" s="6">
        <v>5560</v>
      </c>
      <c r="L52" s="6">
        <v>4410</v>
      </c>
      <c r="M52" s="6">
        <v>2930</v>
      </c>
      <c r="N52" s="6">
        <v>1770</v>
      </c>
      <c r="O52" s="6">
        <v>1320</v>
      </c>
    </row>
    <row r="53" spans="1:15">
      <c r="A53" s="3" t="s">
        <v>28</v>
      </c>
      <c r="B53" s="5" t="s">
        <v>139</v>
      </c>
      <c r="C53" s="5" t="s">
        <v>140</v>
      </c>
      <c r="D53" s="6">
        <v>1810</v>
      </c>
      <c r="E53" s="6">
        <v>2620</v>
      </c>
      <c r="F53" s="6">
        <v>4220</v>
      </c>
      <c r="G53" s="6">
        <v>4860</v>
      </c>
      <c r="H53" s="6">
        <v>6060</v>
      </c>
      <c r="I53" s="6">
        <v>6930</v>
      </c>
      <c r="J53" s="6">
        <v>7010</v>
      </c>
      <c r="K53" s="6">
        <v>6320</v>
      </c>
      <c r="L53" s="6">
        <v>4760</v>
      </c>
      <c r="M53" s="6">
        <v>3170</v>
      </c>
      <c r="N53" s="6">
        <v>1940</v>
      </c>
      <c r="O53" s="6">
        <v>1380</v>
      </c>
    </row>
    <row r="54" spans="1:15">
      <c r="A54" s="3" t="s">
        <v>29</v>
      </c>
      <c r="B54" s="5" t="s">
        <v>141</v>
      </c>
      <c r="C54" s="5" t="s">
        <v>142</v>
      </c>
      <c r="D54" s="6">
        <v>1780</v>
      </c>
      <c r="E54" s="6">
        <v>2500</v>
      </c>
      <c r="F54" s="6">
        <v>3890</v>
      </c>
      <c r="G54" s="6">
        <v>4750</v>
      </c>
      <c r="H54" s="6">
        <v>5760</v>
      </c>
      <c r="I54" s="6">
        <v>6390</v>
      </c>
      <c r="J54" s="6">
        <v>6400</v>
      </c>
      <c r="K54" s="6">
        <v>5580</v>
      </c>
      <c r="L54" s="6">
        <v>4530</v>
      </c>
      <c r="M54" s="6">
        <v>3070</v>
      </c>
      <c r="N54" s="6">
        <v>1980</v>
      </c>
      <c r="O54" s="6">
        <v>1520</v>
      </c>
    </row>
    <row r="55" spans="1:15">
      <c r="A55" s="10" t="s">
        <v>153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3" t="s">
        <v>157</v>
      </c>
      <c r="B56" s="5" t="s">
        <v>158</v>
      </c>
      <c r="C56" s="5" t="s">
        <v>159</v>
      </c>
      <c r="D56" s="6">
        <v>597</v>
      </c>
      <c r="E56" s="6">
        <v>1370</v>
      </c>
      <c r="F56" s="6">
        <v>2200</v>
      </c>
      <c r="G56" s="6">
        <v>3750</v>
      </c>
      <c r="H56" s="6">
        <v>4900</v>
      </c>
      <c r="I56" s="6">
        <v>4900</v>
      </c>
      <c r="J56" s="6">
        <v>4930</v>
      </c>
      <c r="K56" s="6">
        <v>4160</v>
      </c>
      <c r="L56" s="6">
        <v>2770</v>
      </c>
      <c r="M56" s="6">
        <v>1600</v>
      </c>
      <c r="N56" s="6">
        <v>800</v>
      </c>
      <c r="O56" s="6">
        <v>449</v>
      </c>
    </row>
    <row r="57" spans="1:15">
      <c r="A57" s="3" t="s">
        <v>154</v>
      </c>
      <c r="B57" s="5" t="s">
        <v>155</v>
      </c>
      <c r="C57" s="5" t="s">
        <v>156</v>
      </c>
      <c r="D57" s="6">
        <v>2060</v>
      </c>
      <c r="E57" s="6">
        <v>2640</v>
      </c>
      <c r="F57">
        <v>3870</v>
      </c>
      <c r="G57" s="6">
        <v>5240</v>
      </c>
      <c r="H57" s="6">
        <v>6240</v>
      </c>
      <c r="I57">
        <v>7040</v>
      </c>
      <c r="J57" s="6">
        <v>6950</v>
      </c>
      <c r="K57" s="6">
        <v>6230</v>
      </c>
      <c r="L57" s="6">
        <v>5110</v>
      </c>
      <c r="M57" s="6">
        <v>3420</v>
      </c>
      <c r="N57" s="6">
        <v>2170</v>
      </c>
      <c r="O57" s="6">
        <v>1760</v>
      </c>
    </row>
    <row r="58" spans="1:15">
      <c r="A58" s="3" t="s">
        <v>160</v>
      </c>
      <c r="B58" s="5" t="s">
        <v>161</v>
      </c>
      <c r="C58" s="5" t="s">
        <v>162</v>
      </c>
      <c r="D58" s="6">
        <v>630</v>
      </c>
      <c r="E58" s="6">
        <v>1340</v>
      </c>
      <c r="F58" s="6">
        <v>2220</v>
      </c>
      <c r="G58" s="6">
        <v>3660</v>
      </c>
      <c r="H58" s="6">
        <v>5030</v>
      </c>
      <c r="I58" s="6">
        <v>4840</v>
      </c>
      <c r="J58" s="6">
        <v>5010</v>
      </c>
      <c r="K58" s="6">
        <v>4300</v>
      </c>
      <c r="L58" s="6">
        <v>2800</v>
      </c>
      <c r="M58" s="6">
        <v>1670</v>
      </c>
      <c r="N58" s="6">
        <v>799</v>
      </c>
      <c r="O58" s="6">
        <v>454</v>
      </c>
    </row>
    <row r="59" spans="1:15">
      <c r="A59" s="3" t="s">
        <v>163</v>
      </c>
      <c r="B59" s="5" t="s">
        <v>179</v>
      </c>
      <c r="C59" s="5" t="s">
        <v>180</v>
      </c>
      <c r="D59" s="11">
        <v>635</v>
      </c>
      <c r="E59" s="6">
        <v>1380</v>
      </c>
      <c r="F59" s="6">
        <v>2150</v>
      </c>
      <c r="G59" s="6">
        <v>3510</v>
      </c>
      <c r="H59" s="6">
        <v>4520</v>
      </c>
      <c r="I59" s="6">
        <v>4620</v>
      </c>
      <c r="J59" s="6">
        <v>4840</v>
      </c>
      <c r="K59" s="6">
        <v>4080</v>
      </c>
      <c r="L59" s="6">
        <v>2740</v>
      </c>
      <c r="M59" s="6">
        <v>1670</v>
      </c>
      <c r="N59" s="6">
        <v>864</v>
      </c>
      <c r="O59" s="6">
        <v>494</v>
      </c>
    </row>
    <row r="60" spans="1:15">
      <c r="A60" s="3" t="s">
        <v>164</v>
      </c>
      <c r="B60" s="5" t="s">
        <v>204</v>
      </c>
      <c r="C60" s="5" t="s">
        <v>205</v>
      </c>
      <c r="D60" s="14">
        <v>1330</v>
      </c>
      <c r="E60" s="14">
        <v>2040</v>
      </c>
      <c r="F60" s="14">
        <v>3150</v>
      </c>
      <c r="G60" s="14">
        <v>4500</v>
      </c>
      <c r="H60" s="14">
        <v>5660</v>
      </c>
      <c r="I60" s="14">
        <v>6000</v>
      </c>
      <c r="J60" s="14">
        <v>6110</v>
      </c>
      <c r="K60" s="14">
        <v>5550</v>
      </c>
      <c r="L60" s="14">
        <v>4270</v>
      </c>
      <c r="M60" s="14">
        <v>2900</v>
      </c>
      <c r="N60" s="14">
        <v>1500</v>
      </c>
      <c r="O60" s="14">
        <v>1090</v>
      </c>
    </row>
    <row r="61" spans="1:15">
      <c r="A61" s="3" t="s">
        <v>165</v>
      </c>
      <c r="B61" s="5" t="s">
        <v>181</v>
      </c>
      <c r="C61" s="5" t="s">
        <v>182</v>
      </c>
      <c r="D61" s="6">
        <v>922</v>
      </c>
      <c r="E61" s="6">
        <v>1610</v>
      </c>
      <c r="F61" s="6">
        <v>2780</v>
      </c>
      <c r="G61" s="6">
        <v>4230</v>
      </c>
      <c r="H61" s="6">
        <v>5310</v>
      </c>
      <c r="I61" s="6">
        <v>5800</v>
      </c>
      <c r="J61" s="6">
        <v>6060</v>
      </c>
      <c r="K61" s="6">
        <v>5010</v>
      </c>
      <c r="L61" s="6">
        <v>3620</v>
      </c>
      <c r="M61" s="6">
        <v>2220</v>
      </c>
      <c r="N61">
        <v>1140</v>
      </c>
      <c r="O61" s="6">
        <v>672</v>
      </c>
    </row>
    <row r="62" spans="1:15">
      <c r="A62" s="3" t="s">
        <v>166</v>
      </c>
      <c r="B62" s="5" t="s">
        <v>183</v>
      </c>
      <c r="C62" s="5" t="s">
        <v>184</v>
      </c>
      <c r="D62" s="6">
        <v>299</v>
      </c>
      <c r="E62" s="6">
        <v>907</v>
      </c>
      <c r="F62" s="6">
        <v>1980</v>
      </c>
      <c r="G62" s="6">
        <v>3590</v>
      </c>
      <c r="H62" s="6">
        <v>5300</v>
      </c>
      <c r="I62" s="6">
        <v>5360</v>
      </c>
      <c r="J62" s="6">
        <v>5200</v>
      </c>
      <c r="K62" s="6">
        <v>3870</v>
      </c>
      <c r="L62" s="6">
        <v>2450</v>
      </c>
      <c r="M62" s="6">
        <v>1160</v>
      </c>
      <c r="N62" s="6">
        <v>445</v>
      </c>
      <c r="O62" s="6">
        <v>175</v>
      </c>
    </row>
    <row r="63" spans="1:15">
      <c r="A63" s="3" t="s">
        <v>167</v>
      </c>
      <c r="B63" s="13" t="s">
        <v>185</v>
      </c>
      <c r="C63" s="5" t="s">
        <v>186</v>
      </c>
      <c r="D63" s="6">
        <v>257</v>
      </c>
      <c r="E63" s="6">
        <v>917</v>
      </c>
      <c r="F63">
        <v>2010</v>
      </c>
      <c r="G63" s="6">
        <v>3710</v>
      </c>
      <c r="H63" s="6">
        <v>5190</v>
      </c>
      <c r="I63" s="6">
        <v>5620</v>
      </c>
      <c r="J63" s="6">
        <v>5460</v>
      </c>
      <c r="K63">
        <v>3830</v>
      </c>
      <c r="L63">
        <v>2190</v>
      </c>
      <c r="M63" s="6">
        <v>993</v>
      </c>
      <c r="N63">
        <v>329</v>
      </c>
      <c r="O63">
        <v>144</v>
      </c>
    </row>
    <row r="64" spans="1:15">
      <c r="A64" s="3" t="s">
        <v>168</v>
      </c>
      <c r="B64" s="5" t="s">
        <v>206</v>
      </c>
      <c r="C64" s="5" t="s">
        <v>207</v>
      </c>
      <c r="D64" s="6">
        <v>2140</v>
      </c>
      <c r="E64" s="6">
        <v>2720</v>
      </c>
      <c r="F64" s="6">
        <v>4360</v>
      </c>
      <c r="G64" s="6">
        <v>5070</v>
      </c>
      <c r="H64" s="6">
        <v>6140</v>
      </c>
      <c r="I64" s="6">
        <v>6900</v>
      </c>
      <c r="J64" s="6">
        <v>7050</v>
      </c>
      <c r="K64" s="6">
        <v>6420</v>
      </c>
      <c r="L64" s="6">
        <v>5070</v>
      </c>
      <c r="M64" s="6">
        <v>3580</v>
      </c>
      <c r="N64" s="6">
        <v>2270</v>
      </c>
      <c r="O64" s="6">
        <v>1900</v>
      </c>
    </row>
    <row r="65" spans="1:15">
      <c r="A65" s="3" t="s">
        <v>169</v>
      </c>
      <c r="B65" s="13" t="s">
        <v>187</v>
      </c>
      <c r="C65" s="5" t="s">
        <v>188</v>
      </c>
      <c r="D65">
        <v>736</v>
      </c>
      <c r="E65" s="6">
        <v>1350</v>
      </c>
      <c r="F65">
        <v>2210</v>
      </c>
      <c r="G65" s="6">
        <v>3650</v>
      </c>
      <c r="H65" s="6">
        <v>4640</v>
      </c>
      <c r="I65" s="6">
        <v>4800</v>
      </c>
      <c r="J65" s="6">
        <v>4840</v>
      </c>
      <c r="K65" s="6">
        <v>4150</v>
      </c>
      <c r="L65" s="6">
        <v>2790</v>
      </c>
      <c r="M65" s="6">
        <v>1700</v>
      </c>
      <c r="N65" s="6">
        <v>898</v>
      </c>
      <c r="O65">
        <v>524</v>
      </c>
    </row>
    <row r="66" spans="1:15">
      <c r="A66" s="3" t="s">
        <v>170</v>
      </c>
      <c r="B66" s="13" t="s">
        <v>189</v>
      </c>
      <c r="C66" s="5" t="s">
        <v>190</v>
      </c>
      <c r="D66" s="6">
        <v>680</v>
      </c>
      <c r="E66" s="6">
        <v>1530</v>
      </c>
      <c r="F66">
        <v>2340</v>
      </c>
      <c r="G66" s="6">
        <v>3760</v>
      </c>
      <c r="H66" s="6">
        <v>4690</v>
      </c>
      <c r="I66" s="6">
        <v>4910</v>
      </c>
      <c r="J66" s="6">
        <v>5290</v>
      </c>
      <c r="K66" s="6">
        <v>4340</v>
      </c>
      <c r="L66" s="6">
        <v>3030</v>
      </c>
      <c r="M66">
        <v>1770</v>
      </c>
      <c r="N66">
        <v>949</v>
      </c>
      <c r="O66" s="6">
        <v>545</v>
      </c>
    </row>
    <row r="67" spans="1:15">
      <c r="A67" s="3" t="s">
        <v>172</v>
      </c>
      <c r="B67" s="13" t="s">
        <v>192</v>
      </c>
      <c r="C67" s="5" t="s">
        <v>193</v>
      </c>
      <c r="D67" s="6">
        <v>258</v>
      </c>
      <c r="E67">
        <v>772</v>
      </c>
      <c r="F67">
        <v>1710</v>
      </c>
      <c r="G67" s="6">
        <v>3190</v>
      </c>
      <c r="H67" s="6">
        <v>4550</v>
      </c>
      <c r="I67" s="6">
        <v>5170</v>
      </c>
      <c r="J67" s="6">
        <v>4750</v>
      </c>
      <c r="K67">
        <v>3500</v>
      </c>
      <c r="L67" s="6">
        <v>2210</v>
      </c>
      <c r="M67">
        <v>1000</v>
      </c>
      <c r="N67" s="6">
        <v>370</v>
      </c>
      <c r="O67">
        <v>177</v>
      </c>
    </row>
    <row r="68" spans="1:15">
      <c r="A68" s="3" t="s">
        <v>173</v>
      </c>
      <c r="B68" s="13" t="s">
        <v>194</v>
      </c>
      <c r="C68" s="5" t="s">
        <v>195</v>
      </c>
      <c r="D68" s="6">
        <v>829</v>
      </c>
      <c r="E68" s="6">
        <v>1550</v>
      </c>
      <c r="F68">
        <v>2660</v>
      </c>
      <c r="G68" s="6">
        <v>4030</v>
      </c>
      <c r="H68">
        <v>4730</v>
      </c>
      <c r="I68" s="6">
        <v>5290</v>
      </c>
      <c r="J68" s="6">
        <v>5530</v>
      </c>
      <c r="K68" s="6">
        <v>4690</v>
      </c>
      <c r="L68" s="6">
        <v>3340</v>
      </c>
      <c r="M68" s="6">
        <v>2040</v>
      </c>
      <c r="N68" s="6">
        <v>1110</v>
      </c>
      <c r="O68">
        <v>658</v>
      </c>
    </row>
    <row r="69" spans="1:15">
      <c r="A69" s="3" t="s">
        <v>174</v>
      </c>
      <c r="B69" s="13" t="s">
        <v>208</v>
      </c>
      <c r="C69" s="13" t="s">
        <v>209</v>
      </c>
      <c r="D69" s="6">
        <v>770</v>
      </c>
      <c r="E69" s="6">
        <v>1400</v>
      </c>
      <c r="F69" s="6">
        <v>2420</v>
      </c>
      <c r="G69" s="6">
        <v>3770</v>
      </c>
      <c r="H69" s="6">
        <v>4900</v>
      </c>
      <c r="I69" s="6">
        <v>4960</v>
      </c>
      <c r="J69" s="6">
        <v>5110</v>
      </c>
      <c r="K69" s="6">
        <v>4320</v>
      </c>
      <c r="L69" s="6">
        <v>2880</v>
      </c>
      <c r="M69" s="6">
        <v>1880</v>
      </c>
      <c r="N69" s="6">
        <v>804</v>
      </c>
      <c r="O69" s="6">
        <v>549</v>
      </c>
    </row>
    <row r="70" spans="1:15">
      <c r="A70" s="3" t="s">
        <v>175</v>
      </c>
      <c r="B70" s="13" t="s">
        <v>196</v>
      </c>
      <c r="C70" s="5" t="s">
        <v>197</v>
      </c>
      <c r="D70" s="6">
        <v>387</v>
      </c>
      <c r="E70" s="6">
        <v>1070</v>
      </c>
      <c r="F70">
        <v>2170</v>
      </c>
      <c r="G70">
        <v>3790</v>
      </c>
      <c r="H70" s="6">
        <v>5380</v>
      </c>
      <c r="I70" s="6">
        <v>5690</v>
      </c>
      <c r="J70">
        <v>5410</v>
      </c>
      <c r="K70" s="6">
        <v>4180</v>
      </c>
      <c r="L70" s="6">
        <v>2590</v>
      </c>
      <c r="M70" s="6">
        <v>1320</v>
      </c>
      <c r="N70" s="6">
        <v>493</v>
      </c>
      <c r="O70" s="6">
        <v>240</v>
      </c>
    </row>
    <row r="71" spans="1:15">
      <c r="A71" s="3" t="s">
        <v>176</v>
      </c>
      <c r="B71" s="13" t="s">
        <v>198</v>
      </c>
      <c r="C71" s="5" t="s">
        <v>199</v>
      </c>
      <c r="D71" s="6">
        <v>1650</v>
      </c>
      <c r="E71">
        <v>2270</v>
      </c>
      <c r="F71">
        <v>3650</v>
      </c>
      <c r="G71">
        <v>4960</v>
      </c>
      <c r="H71" s="6">
        <v>5970</v>
      </c>
      <c r="I71" s="6">
        <v>6590</v>
      </c>
      <c r="J71">
        <v>6630</v>
      </c>
      <c r="K71">
        <v>5780</v>
      </c>
      <c r="L71">
        <v>4450</v>
      </c>
      <c r="M71">
        <v>3030</v>
      </c>
      <c r="N71" s="6">
        <v>1870</v>
      </c>
      <c r="O71">
        <v>1430</v>
      </c>
    </row>
    <row r="72" spans="1:15">
      <c r="A72" s="3" t="s">
        <v>177</v>
      </c>
      <c r="B72" s="13" t="s">
        <v>200</v>
      </c>
      <c r="C72" s="5" t="s">
        <v>201</v>
      </c>
      <c r="D72" s="6">
        <v>606</v>
      </c>
      <c r="E72">
        <v>1290</v>
      </c>
      <c r="F72">
        <v>2340</v>
      </c>
      <c r="G72">
        <v>3650</v>
      </c>
      <c r="H72" s="6">
        <v>5120</v>
      </c>
      <c r="I72">
        <v>5040</v>
      </c>
      <c r="J72">
        <v>5160</v>
      </c>
      <c r="K72">
        <v>4420</v>
      </c>
      <c r="L72">
        <v>2760</v>
      </c>
      <c r="M72">
        <v>1730</v>
      </c>
      <c r="N72">
        <v>751</v>
      </c>
      <c r="O72">
        <v>432</v>
      </c>
    </row>
    <row r="73" spans="1:15">
      <c r="A73" s="3" t="s">
        <v>178</v>
      </c>
      <c r="B73" s="13" t="s">
        <v>202</v>
      </c>
      <c r="C73" s="5" t="s">
        <v>203</v>
      </c>
      <c r="D73">
        <v>924</v>
      </c>
      <c r="E73">
        <v>1600</v>
      </c>
      <c r="F73">
        <v>2720</v>
      </c>
      <c r="G73">
        <v>4080</v>
      </c>
      <c r="H73">
        <v>5120</v>
      </c>
      <c r="I73">
        <v>5500</v>
      </c>
      <c r="J73">
        <v>5700</v>
      </c>
      <c r="K73">
        <v>4710</v>
      </c>
      <c r="L73">
        <v>3390</v>
      </c>
      <c r="M73">
        <v>2110</v>
      </c>
      <c r="N73">
        <v>1050</v>
      </c>
      <c r="O73">
        <v>691</v>
      </c>
    </row>
    <row r="74" spans="1:15">
      <c r="A74" s="10" t="s">
        <v>226</v>
      </c>
    </row>
    <row r="75" spans="1:15">
      <c r="A75" s="3" t="s">
        <v>242</v>
      </c>
      <c r="B75" s="13" t="s">
        <v>243</v>
      </c>
      <c r="C75" s="5" t="s">
        <v>244</v>
      </c>
      <c r="D75">
        <v>8380</v>
      </c>
      <c r="E75">
        <v>7550</v>
      </c>
      <c r="F75">
        <v>6110</v>
      </c>
      <c r="G75">
        <v>4370</v>
      </c>
      <c r="H75">
        <v>3250</v>
      </c>
      <c r="I75">
        <v>2760</v>
      </c>
      <c r="J75">
        <v>2940</v>
      </c>
      <c r="K75">
        <v>3810</v>
      </c>
      <c r="L75">
        <v>5040</v>
      </c>
      <c r="M75">
        <v>6650</v>
      </c>
      <c r="N75">
        <v>7810</v>
      </c>
      <c r="O75">
        <v>8430</v>
      </c>
    </row>
    <row r="76" spans="1:15">
      <c r="A76" s="3" t="s">
        <v>245</v>
      </c>
      <c r="B76" s="13" t="s">
        <v>246</v>
      </c>
      <c r="C76" s="5" t="s">
        <v>247</v>
      </c>
      <c r="D76">
        <v>5200</v>
      </c>
      <c r="E76">
        <v>5800</v>
      </c>
      <c r="F76">
        <v>6700</v>
      </c>
      <c r="G76">
        <v>7060</v>
      </c>
      <c r="H76">
        <v>7060</v>
      </c>
      <c r="I76">
        <v>7000</v>
      </c>
      <c r="J76">
        <v>6330</v>
      </c>
      <c r="K76">
        <v>5740</v>
      </c>
      <c r="L76">
        <v>5600</v>
      </c>
      <c r="M76">
        <v>5790</v>
      </c>
      <c r="N76">
        <v>5420</v>
      </c>
      <c r="O76">
        <v>5180</v>
      </c>
    </row>
    <row r="77" spans="1:15">
      <c r="A77" s="3" t="s">
        <v>233</v>
      </c>
      <c r="B77" s="13" t="s">
        <v>236</v>
      </c>
      <c r="C77" s="5" t="s">
        <v>234</v>
      </c>
      <c r="D77">
        <v>2990</v>
      </c>
      <c r="E77">
        <v>3430</v>
      </c>
      <c r="F77">
        <v>4470</v>
      </c>
      <c r="G77">
        <v>5540</v>
      </c>
      <c r="H77">
        <v>6550</v>
      </c>
      <c r="I77">
        <v>7430</v>
      </c>
      <c r="J77">
        <v>6950</v>
      </c>
      <c r="K77">
        <v>6250</v>
      </c>
      <c r="L77">
        <v>5400</v>
      </c>
      <c r="M77">
        <v>4140</v>
      </c>
      <c r="N77">
        <v>3060</v>
      </c>
      <c r="O77">
        <v>2730</v>
      </c>
    </row>
    <row r="78" spans="1:15">
      <c r="A78" s="3" t="s">
        <v>251</v>
      </c>
      <c r="B78" s="13" t="s">
        <v>252</v>
      </c>
      <c r="C78" s="5" t="s">
        <v>253</v>
      </c>
      <c r="D78">
        <v>4980</v>
      </c>
      <c r="E78">
        <v>5080</v>
      </c>
      <c r="F78">
        <v>5260</v>
      </c>
      <c r="G78">
        <v>5110</v>
      </c>
      <c r="H78">
        <v>4910</v>
      </c>
      <c r="I78">
        <v>4700</v>
      </c>
      <c r="J78">
        <v>5280</v>
      </c>
      <c r="K78">
        <v>5400</v>
      </c>
      <c r="L78">
        <v>4910</v>
      </c>
      <c r="M78">
        <v>4570</v>
      </c>
      <c r="N78">
        <v>4810</v>
      </c>
      <c r="O78">
        <v>4790</v>
      </c>
    </row>
    <row r="79" spans="1:15">
      <c r="A79" s="3" t="s">
        <v>248</v>
      </c>
      <c r="B79" s="13" t="s">
        <v>249</v>
      </c>
      <c r="C79" s="5" t="s">
        <v>250</v>
      </c>
      <c r="D79">
        <v>6600</v>
      </c>
      <c r="E79">
        <v>7010</v>
      </c>
      <c r="F79">
        <v>6730</v>
      </c>
      <c r="G79">
        <v>6020</v>
      </c>
      <c r="H79">
        <v>5350</v>
      </c>
      <c r="I79">
        <v>4700</v>
      </c>
      <c r="J79">
        <v>4330</v>
      </c>
      <c r="K79">
        <v>4620</v>
      </c>
      <c r="L79">
        <v>5850</v>
      </c>
      <c r="M79">
        <v>6110</v>
      </c>
      <c r="N79">
        <v>5830</v>
      </c>
      <c r="O79">
        <v>6270</v>
      </c>
    </row>
    <row r="80" spans="1:15">
      <c r="A80" s="3" t="s">
        <v>230</v>
      </c>
      <c r="B80" s="13" t="s">
        <v>231</v>
      </c>
      <c r="C80" s="5" t="s">
        <v>232</v>
      </c>
      <c r="D80">
        <v>3150</v>
      </c>
      <c r="E80">
        <v>4020</v>
      </c>
      <c r="F80">
        <v>5570</v>
      </c>
      <c r="G80">
        <v>6460</v>
      </c>
      <c r="H80">
        <v>7420</v>
      </c>
      <c r="I80">
        <v>7970</v>
      </c>
      <c r="J80">
        <v>7760</v>
      </c>
      <c r="K80">
        <v>7110</v>
      </c>
      <c r="L80">
        <v>5980</v>
      </c>
      <c r="M80">
        <v>4420</v>
      </c>
      <c r="N80">
        <v>3360</v>
      </c>
      <c r="O80">
        <v>2840</v>
      </c>
    </row>
    <row r="81" spans="1:15">
      <c r="A81" s="10" t="s">
        <v>227</v>
      </c>
    </row>
    <row r="82" spans="1:15">
      <c r="A82" s="3" t="s">
        <v>254</v>
      </c>
      <c r="B82" s="13" t="s">
        <v>259</v>
      </c>
      <c r="C82" s="5" t="s">
        <v>260</v>
      </c>
      <c r="D82">
        <f>Hoja1!D89*$B$105</f>
        <v>2960</v>
      </c>
      <c r="E82">
        <f>Hoja1!E89*$B$105</f>
        <v>4030.0000000000005</v>
      </c>
      <c r="F82">
        <f>Hoja1!F89*$B$105</f>
        <v>4980</v>
      </c>
      <c r="G82">
        <f>Hoja1!G89*$B$105</f>
        <v>5390</v>
      </c>
      <c r="H82">
        <f>Hoja1!H89*$B$105</f>
        <v>6480</v>
      </c>
      <c r="I82">
        <f>Hoja1!I89*$B$105</f>
        <v>7560</v>
      </c>
      <c r="J82">
        <f>Hoja1!J89*$B$105</f>
        <v>7000</v>
      </c>
      <c r="K82">
        <f>Hoja1!K89*$B$105</f>
        <v>6710</v>
      </c>
      <c r="L82">
        <f>Hoja1!L89*$B$105</f>
        <v>5550</v>
      </c>
      <c r="M82">
        <f>Hoja1!M89*$B$105</f>
        <v>3980</v>
      </c>
      <c r="N82">
        <f>Hoja1!N89*$B$105</f>
        <v>2980</v>
      </c>
      <c r="O82">
        <f>Hoja1!O89*$B$105</f>
        <v>2620</v>
      </c>
    </row>
    <row r="83" spans="1:15">
      <c r="A83" s="3" t="s">
        <v>255</v>
      </c>
      <c r="B83" s="13" t="s">
        <v>261</v>
      </c>
      <c r="C83" s="5" t="s">
        <v>262</v>
      </c>
      <c r="D83">
        <f>Hoja1!D90*$B$105</f>
        <v>5070</v>
      </c>
      <c r="E83">
        <f>Hoja1!E90*$B$105</f>
        <v>5620</v>
      </c>
      <c r="F83">
        <f>Hoja1!F90*$B$105</f>
        <v>5990</v>
      </c>
      <c r="G83">
        <f>Hoja1!G90*$B$105</f>
        <v>6230</v>
      </c>
      <c r="H83">
        <f>Hoja1!H90*$B$105</f>
        <v>5370</v>
      </c>
      <c r="I83">
        <f>Hoja1!I90*$B$105</f>
        <v>4930</v>
      </c>
      <c r="J83">
        <f>Hoja1!J90*$B$105</f>
        <v>4820</v>
      </c>
      <c r="K83">
        <f>Hoja1!K90*$B$105</f>
        <v>4810</v>
      </c>
      <c r="L83">
        <f>Hoja1!L90*$B$105</f>
        <v>4730</v>
      </c>
      <c r="M83">
        <f>Hoja1!M90*$B$105</f>
        <v>4490</v>
      </c>
      <c r="N83">
        <f>Hoja1!N90*$B$105</f>
        <v>4740</v>
      </c>
      <c r="O83">
        <f>Hoja1!O90*$B$105</f>
        <v>4860</v>
      </c>
    </row>
    <row r="84" spans="1:15">
      <c r="A84" s="3" t="s">
        <v>171</v>
      </c>
      <c r="B84" s="13" t="s">
        <v>269</v>
      </c>
      <c r="C84" s="5" t="s">
        <v>191</v>
      </c>
      <c r="D84">
        <v>485</v>
      </c>
      <c r="E84">
        <v>1230</v>
      </c>
      <c r="F84">
        <v>2460</v>
      </c>
      <c r="G84">
        <v>3450</v>
      </c>
      <c r="H84">
        <v>5280</v>
      </c>
      <c r="I84">
        <v>5290</v>
      </c>
      <c r="J84">
        <v>5160</v>
      </c>
      <c r="K84">
        <v>4180</v>
      </c>
      <c r="L84">
        <v>2460</v>
      </c>
      <c r="M84">
        <v>1280</v>
      </c>
      <c r="N84">
        <v>527</v>
      </c>
      <c r="O84">
        <v>332</v>
      </c>
    </row>
    <row r="85" spans="1:15">
      <c r="A85" s="3" t="s">
        <v>256</v>
      </c>
      <c r="B85" s="13" t="s">
        <v>263</v>
      </c>
      <c r="C85" s="5" t="s">
        <v>264</v>
      </c>
      <c r="D85">
        <f>Hoja1!D91*$B$105</f>
        <v>2790</v>
      </c>
      <c r="E85">
        <f>Hoja1!E91*$B$105</f>
        <v>3690</v>
      </c>
      <c r="F85">
        <f>Hoja1!F91*$B$105</f>
        <v>4710</v>
      </c>
      <c r="G85">
        <f>Hoja1!G91*$B$105</f>
        <v>5750</v>
      </c>
      <c r="H85">
        <f>Hoja1!H91*$B$105</f>
        <v>6170</v>
      </c>
      <c r="I85">
        <f>Hoja1!I91*$B$105</f>
        <v>5720</v>
      </c>
      <c r="J85">
        <f>Hoja1!J91*$B$105</f>
        <v>5130</v>
      </c>
      <c r="K85">
        <f>Hoja1!K91*$B$105</f>
        <v>4670</v>
      </c>
      <c r="L85">
        <f>Hoja1!L91*$B$105</f>
        <v>4260</v>
      </c>
      <c r="M85">
        <f>Hoja1!M91*$B$105</f>
        <v>3670</v>
      </c>
      <c r="N85">
        <f>Hoja1!N91*$B$105</f>
        <v>2820</v>
      </c>
      <c r="O85">
        <f>Hoja1!O91*$B$105</f>
        <v>2470</v>
      </c>
    </row>
    <row r="86" spans="1:15">
      <c r="A86" s="3" t="s">
        <v>257</v>
      </c>
      <c r="B86" s="13" t="s">
        <v>270</v>
      </c>
      <c r="C86" s="5" t="s">
        <v>271</v>
      </c>
      <c r="D86">
        <f>Hoja1!D92*$B$105</f>
        <v>3760</v>
      </c>
      <c r="E86">
        <f>Hoja1!E92*$B$105</f>
        <v>4630</v>
      </c>
      <c r="F86">
        <f>Hoja1!F92*$B$105</f>
        <v>5380</v>
      </c>
      <c r="G86">
        <f>Hoja1!G92*$B$105</f>
        <v>6190</v>
      </c>
      <c r="H86">
        <f>Hoja1!H92*$B$105</f>
        <v>7150</v>
      </c>
      <c r="I86">
        <f>Hoja1!I92*$B$105</f>
        <v>7870</v>
      </c>
      <c r="J86">
        <f>Hoja1!J92*$B$105</f>
        <v>7590</v>
      </c>
      <c r="K86">
        <f>Hoja1!K92*$B$105</f>
        <v>7150</v>
      </c>
      <c r="L86">
        <f>Hoja1!L92*$B$105</f>
        <v>6340</v>
      </c>
      <c r="M86">
        <f>Hoja1!M92*$B$105</f>
        <v>5470</v>
      </c>
      <c r="N86">
        <f>Hoja1!N92*$B$105</f>
        <v>4220</v>
      </c>
      <c r="O86">
        <f>Hoja1!O92*$B$105</f>
        <v>3520</v>
      </c>
    </row>
    <row r="87" spans="1:15">
      <c r="A87" s="3" t="s">
        <v>258</v>
      </c>
      <c r="B87" s="13" t="s">
        <v>265</v>
      </c>
      <c r="C87" s="5" t="s">
        <v>266</v>
      </c>
      <c r="D87">
        <f>Hoja1!D93*$B$105</f>
        <v>3000</v>
      </c>
      <c r="E87">
        <f>Hoja1!E93*$B$105</f>
        <v>3720</v>
      </c>
      <c r="F87">
        <f>Hoja1!F93*$B$105</f>
        <v>4170</v>
      </c>
      <c r="G87">
        <f>Hoja1!G93*$B$105</f>
        <v>4880</v>
      </c>
      <c r="H87">
        <f>Hoja1!H93*$B$105</f>
        <v>4850</v>
      </c>
      <c r="I87">
        <f>Hoja1!I93*$B$105</f>
        <v>4210</v>
      </c>
      <c r="J87">
        <f>Hoja1!J93*$B$105</f>
        <v>4430</v>
      </c>
      <c r="K87">
        <f>Hoja1!K93*$B$105</f>
        <v>4470</v>
      </c>
      <c r="L87">
        <f>Hoja1!L93*$B$105</f>
        <v>3310</v>
      </c>
      <c r="M87">
        <f>Hoja1!M93*$B$105</f>
        <v>3050</v>
      </c>
      <c r="N87">
        <f>Hoja1!N93*$B$105</f>
        <v>2770</v>
      </c>
      <c r="O87">
        <f>Hoja1!O93*$B$105</f>
        <v>2720</v>
      </c>
    </row>
    <row r="88" spans="1:15">
      <c r="A88" s="10" t="s">
        <v>228</v>
      </c>
    </row>
    <row r="89" spans="1:15">
      <c r="A89" s="10" t="s">
        <v>267</v>
      </c>
    </row>
    <row r="90" spans="1:15">
      <c r="A90" s="3" t="s">
        <v>239</v>
      </c>
      <c r="B90" s="13" t="s">
        <v>277</v>
      </c>
      <c r="C90" s="5">
        <v>-84.43</v>
      </c>
      <c r="D90">
        <f>2.6*1000</f>
        <v>2600</v>
      </c>
      <c r="E90">
        <f>3.4*1000</f>
        <v>3400</v>
      </c>
      <c r="F90">
        <f>4.5*1000</f>
        <v>4500</v>
      </c>
      <c r="G90">
        <f>5.7*1000</f>
        <v>5700</v>
      </c>
      <c r="H90">
        <f>6.2*1000</f>
        <v>6200</v>
      </c>
      <c r="I90">
        <f>6.4*1000</f>
        <v>6400</v>
      </c>
      <c r="J90">
        <f>6.2*1000</f>
        <v>6200</v>
      </c>
      <c r="K90">
        <f>5.7*1000</f>
        <v>5700</v>
      </c>
      <c r="L90">
        <f>4.8*1000</f>
        <v>4800</v>
      </c>
      <c r="M90">
        <f>4.1*1000</f>
        <v>4100</v>
      </c>
      <c r="N90">
        <f>2.9*1000</f>
        <v>2900</v>
      </c>
      <c r="O90">
        <f>2.4*1000</f>
        <v>2400</v>
      </c>
    </row>
    <row r="91" spans="1:15">
      <c r="A91" s="3" t="s">
        <v>293</v>
      </c>
      <c r="B91" s="13" t="s">
        <v>278</v>
      </c>
      <c r="C91" s="5">
        <v>-118.4</v>
      </c>
      <c r="D91">
        <f>2.8*1000</f>
        <v>2800</v>
      </c>
      <c r="E91">
        <f>3.6*1000</f>
        <v>3600</v>
      </c>
      <c r="F91">
        <f>4.8*1000</f>
        <v>4800</v>
      </c>
      <c r="G91">
        <f>6.1*1000</f>
        <v>6100</v>
      </c>
      <c r="H91">
        <f>6.4*1000</f>
        <v>6400</v>
      </c>
      <c r="I91">
        <f>6.6*1000</f>
        <v>6600</v>
      </c>
      <c r="J91">
        <f>7.1*1000</f>
        <v>7100</v>
      </c>
      <c r="K91">
        <f>6.5*1000</f>
        <v>6500</v>
      </c>
      <c r="L91">
        <f>5.3*1000</f>
        <v>5300</v>
      </c>
      <c r="M91">
        <f>4.2*1000</f>
        <v>4200</v>
      </c>
      <c r="N91">
        <f>3.2*1000</f>
        <v>3200</v>
      </c>
      <c r="O91">
        <f>2.6*1000</f>
        <v>2600</v>
      </c>
    </row>
    <row r="92" spans="1:15">
      <c r="A92" s="3" t="s">
        <v>240</v>
      </c>
      <c r="B92" s="13" t="s">
        <v>279</v>
      </c>
      <c r="C92" s="5">
        <v>-115.17</v>
      </c>
      <c r="D92">
        <f>3*1000</f>
        <v>3000</v>
      </c>
      <c r="E92">
        <f>4*1000</f>
        <v>4000</v>
      </c>
      <c r="F92">
        <f>5.4*1000</f>
        <v>5400</v>
      </c>
      <c r="G92">
        <f>6.9*1000</f>
        <v>6900</v>
      </c>
      <c r="H92">
        <f>7.8*1000</f>
        <v>7800</v>
      </c>
      <c r="I92">
        <f>8.4*1000</f>
        <v>8400</v>
      </c>
      <c r="J92">
        <f>7.9*1000</f>
        <v>7900</v>
      </c>
      <c r="K92">
        <f>7.2*1000</f>
        <v>7200</v>
      </c>
      <c r="L92">
        <f>6.2*1000</f>
        <v>6200</v>
      </c>
      <c r="M92">
        <f>4.7*1000</f>
        <v>4700</v>
      </c>
      <c r="N92">
        <f>3.4*1000</f>
        <v>3400</v>
      </c>
      <c r="O92">
        <f>2.8*1000</f>
        <v>2800</v>
      </c>
    </row>
    <row r="93" spans="1:15">
      <c r="A93" s="3" t="s">
        <v>237</v>
      </c>
      <c r="B93" s="13" t="s">
        <v>280</v>
      </c>
      <c r="C93" s="5">
        <v>-80.27</v>
      </c>
      <c r="D93">
        <f>3.5*1000</f>
        <v>3500</v>
      </c>
      <c r="E93">
        <f>4.2*1000</f>
        <v>4200</v>
      </c>
      <c r="F93">
        <f>5.2*1000</f>
        <v>5200</v>
      </c>
      <c r="G93">
        <f>6*1000</f>
        <v>6000</v>
      </c>
      <c r="H93">
        <f>6*1000</f>
        <v>6000</v>
      </c>
      <c r="I93">
        <f>5.6*1000</f>
        <v>5600</v>
      </c>
      <c r="J93">
        <f>5.8*1000</f>
        <v>5800</v>
      </c>
      <c r="K93">
        <f>5.6*1000</f>
        <v>5600</v>
      </c>
      <c r="L93">
        <f>4.9*1000</f>
        <v>4900</v>
      </c>
      <c r="M93">
        <f>4.4*1000</f>
        <v>4400</v>
      </c>
      <c r="N93">
        <f>3.7*1000</f>
        <v>3700</v>
      </c>
      <c r="O93">
        <f>3.3*1000</f>
        <v>3300</v>
      </c>
    </row>
    <row r="94" spans="1:15">
      <c r="A94" s="3" t="s">
        <v>235</v>
      </c>
      <c r="B94" s="13" t="s">
        <v>281</v>
      </c>
      <c r="C94" s="5">
        <v>-73.97</v>
      </c>
      <c r="D94">
        <f>1.9*1000</f>
        <v>1900</v>
      </c>
      <c r="E94">
        <f>2.7*1000</f>
        <v>2700</v>
      </c>
      <c r="F94">
        <f>3.8*1000</f>
        <v>3800</v>
      </c>
      <c r="G94">
        <f>4.9*1000</f>
        <v>4900</v>
      </c>
      <c r="H94">
        <f>5.7*1000</f>
        <v>5700</v>
      </c>
      <c r="I94">
        <f>6.1*1000</f>
        <v>6100</v>
      </c>
      <c r="J94">
        <f>6*1000</f>
        <v>6000</v>
      </c>
      <c r="K94">
        <f>5.4*1000</f>
        <v>5400</v>
      </c>
      <c r="L94">
        <f>4.3*1000</f>
        <v>4300</v>
      </c>
      <c r="M94">
        <f>3.2*1000</f>
        <v>3200</v>
      </c>
      <c r="N94">
        <f>2*1000</f>
        <v>2000</v>
      </c>
      <c r="O94">
        <f>1.6*1000</f>
        <v>1600</v>
      </c>
    </row>
    <row r="95" spans="1:15">
      <c r="A95" s="3" t="s">
        <v>238</v>
      </c>
      <c r="B95" s="13" t="s">
        <v>282</v>
      </c>
      <c r="C95" s="5">
        <v>-117.17</v>
      </c>
      <c r="D95">
        <f>3.1*1000</f>
        <v>3100</v>
      </c>
      <c r="E95">
        <f>3.9*1000</f>
        <v>3900</v>
      </c>
      <c r="F95">
        <f>4.9*1000</f>
        <v>4900</v>
      </c>
      <c r="G95">
        <f>6.1*1000</f>
        <v>6100</v>
      </c>
      <c r="H95">
        <f>6.3*1000</f>
        <v>6300</v>
      </c>
      <c r="I95">
        <f>6.5*1000</f>
        <v>6500</v>
      </c>
      <c r="J95">
        <f>6.9*1000</f>
        <v>6900</v>
      </c>
      <c r="K95">
        <f>6.5*1000</f>
        <v>6500</v>
      </c>
      <c r="L95">
        <f>5.4*1000</f>
        <v>5400</v>
      </c>
      <c r="M95">
        <f>4.4*1000</f>
        <v>4400</v>
      </c>
      <c r="N95">
        <f>3.4*1000</f>
        <v>3400</v>
      </c>
      <c r="O95">
        <f>2.9*1000</f>
        <v>2900</v>
      </c>
    </row>
    <row r="96" spans="1:15">
      <c r="A96" s="3" t="s">
        <v>241</v>
      </c>
      <c r="B96" s="13" t="s">
        <v>283</v>
      </c>
      <c r="C96" s="5">
        <v>-122.3</v>
      </c>
      <c r="D96">
        <f>1*1000</f>
        <v>1000</v>
      </c>
      <c r="E96">
        <f>1.7*1000</f>
        <v>1700</v>
      </c>
      <c r="F96">
        <f>2.8*1000</f>
        <v>2800</v>
      </c>
      <c r="G96">
        <f>4.1*1000</f>
        <v>4100</v>
      </c>
      <c r="H96">
        <f>5.3*1000</f>
        <v>5300</v>
      </c>
      <c r="I96">
        <f>5.8*1000</f>
        <v>5800</v>
      </c>
      <c r="J96">
        <f>6.1*1000</f>
        <v>6100</v>
      </c>
      <c r="K96">
        <f>5.2*1000</f>
        <v>5200</v>
      </c>
      <c r="L96">
        <f>3.8*1000</f>
        <v>3800</v>
      </c>
      <c r="M96">
        <f>2.2*1000</f>
        <v>2200</v>
      </c>
      <c r="N96">
        <f>1.2*1000</f>
        <v>1200</v>
      </c>
      <c r="O96">
        <f>0.8*1000</f>
        <v>800</v>
      </c>
    </row>
    <row r="97" spans="1:15">
      <c r="A97" s="3" t="s">
        <v>294</v>
      </c>
      <c r="B97" s="13" t="s">
        <v>295</v>
      </c>
      <c r="C97" s="13" t="s">
        <v>296</v>
      </c>
      <c r="D97">
        <f>Hoja1!D107*1000</f>
        <v>2120</v>
      </c>
      <c r="E97">
        <f>Hoja1!E107*1000</f>
        <v>2870</v>
      </c>
      <c r="F97">
        <f>Hoja1!F107*1000</f>
        <v>3910</v>
      </c>
      <c r="G97">
        <f>Hoja1!G107*1000</f>
        <v>4860</v>
      </c>
      <c r="H97">
        <f>Hoja1!H107*1000</f>
        <v>5400</v>
      </c>
      <c r="I97">
        <f>Hoja1!I107*1000</f>
        <v>5800</v>
      </c>
      <c r="J97">
        <f>Hoja1!J107*1000</f>
        <v>5670</v>
      </c>
      <c r="K97">
        <f>Hoja1!K107*1000</f>
        <v>5000</v>
      </c>
      <c r="L97">
        <f>Hoja1!L107*1000</f>
        <v>4380</v>
      </c>
      <c r="M97">
        <f>Hoja1!M107*1000</f>
        <v>3510</v>
      </c>
      <c r="N97">
        <f>Hoja1!N107*1000</f>
        <v>2360</v>
      </c>
      <c r="O97">
        <f>Hoja1!O107*1000</f>
        <v>1890</v>
      </c>
    </row>
    <row r="98" spans="1:15">
      <c r="A98" s="10" t="s">
        <v>268</v>
      </c>
    </row>
    <row r="99" spans="1:15">
      <c r="A99" s="3" t="s">
        <v>272</v>
      </c>
      <c r="B99" s="13" t="s">
        <v>285</v>
      </c>
      <c r="C99" s="5" t="s">
        <v>284</v>
      </c>
      <c r="D99">
        <f>Hoja1!D115*1000</f>
        <v>7050</v>
      </c>
      <c r="E99">
        <f>Hoja1!E115*1000</f>
        <v>6090</v>
      </c>
      <c r="F99">
        <f>Hoja1!F115*1000</f>
        <v>4940</v>
      </c>
      <c r="G99">
        <f>Hoja1!G115*1000</f>
        <v>3640</v>
      </c>
      <c r="H99">
        <f>Hoja1!H115*1000</f>
        <v>2750</v>
      </c>
      <c r="I99">
        <f>Hoja1!I115*1000</f>
        <v>2220</v>
      </c>
      <c r="J99">
        <f>Hoja1!J115*1000</f>
        <v>2460</v>
      </c>
      <c r="K99">
        <f>Hoja1!K115*1000</f>
        <v>3320</v>
      </c>
      <c r="L99">
        <f>Hoja1!L115*1000</f>
        <v>4540</v>
      </c>
      <c r="M99">
        <f>Hoja1!M115*1000</f>
        <v>5350</v>
      </c>
      <c r="N99">
        <f>Hoja1!N115*1000</f>
        <v>6440</v>
      </c>
      <c r="O99">
        <f>Hoja1!O115*1000</f>
        <v>6970</v>
      </c>
    </row>
    <row r="100" spans="1:15">
      <c r="A100" s="3" t="s">
        <v>273</v>
      </c>
      <c r="B100" s="13" t="s">
        <v>289</v>
      </c>
      <c r="C100" s="5" t="s">
        <v>286</v>
      </c>
      <c r="D100">
        <f>Hoja1!D123*1000</f>
        <v>4090</v>
      </c>
      <c r="E100">
        <f>Hoja1!E123*1000</f>
        <v>5030</v>
      </c>
      <c r="F100">
        <f>Hoja1!F123*1000</f>
        <v>6030</v>
      </c>
      <c r="G100">
        <f>Hoja1!G123*1000</f>
        <v>7010</v>
      </c>
      <c r="H100">
        <f>Hoja1!H123*1000</f>
        <v>7140</v>
      </c>
      <c r="I100">
        <f>Hoja1!I123*1000</f>
        <v>6820</v>
      </c>
      <c r="J100">
        <f>Hoja1!J123*1000</f>
        <v>7050</v>
      </c>
      <c r="K100">
        <f>Hoja1!K123*1000</f>
        <v>6780</v>
      </c>
      <c r="L100">
        <f>Hoja1!L123*1000</f>
        <v>5900</v>
      </c>
      <c r="M100">
        <f>Hoja1!M123*1000</f>
        <v>5050</v>
      </c>
      <c r="N100">
        <f>Hoja1!N123*1000</f>
        <v>4240</v>
      </c>
      <c r="O100">
        <f>Hoja1!O123*1000</f>
        <v>3770</v>
      </c>
    </row>
    <row r="101" spans="1:15">
      <c r="A101" s="3" t="s">
        <v>274</v>
      </c>
      <c r="B101" s="13" t="s">
        <v>287</v>
      </c>
      <c r="C101" s="5" t="s">
        <v>288</v>
      </c>
      <c r="D101">
        <f>Hoja1!D117*1000</f>
        <v>6000</v>
      </c>
      <c r="E101">
        <f>Hoja1!E117*1000</f>
        <v>6060</v>
      </c>
      <c r="F101">
        <f>Hoja1!F117*1000</f>
        <v>5730</v>
      </c>
      <c r="G101">
        <f>Hoja1!G117*1000</f>
        <v>5720</v>
      </c>
      <c r="H101">
        <f>Hoja1!H117*1000</f>
        <v>5600</v>
      </c>
      <c r="I101">
        <f>Hoja1!I117*1000</f>
        <v>5280</v>
      </c>
      <c r="J101">
        <f>Hoja1!J117*1000</f>
        <v>5430</v>
      </c>
      <c r="K101">
        <f>Hoja1!K117*1000</f>
        <v>5860</v>
      </c>
      <c r="L101">
        <f>Hoja1!L117*1000</f>
        <v>6590</v>
      </c>
      <c r="M101">
        <f>Hoja1!M117*1000</f>
        <v>6990</v>
      </c>
      <c r="N101">
        <f>Hoja1!N117*1000</f>
        <v>7180</v>
      </c>
      <c r="O101">
        <f>Hoja1!O117*1000</f>
        <v>6680</v>
      </c>
    </row>
    <row r="102" spans="1:15">
      <c r="A102" s="3" t="s">
        <v>275</v>
      </c>
      <c r="B102" s="13" t="s">
        <v>290</v>
      </c>
      <c r="C102" s="5" t="s">
        <v>307</v>
      </c>
      <c r="D102">
        <f>Hoja1!D118*1000</f>
        <v>7240</v>
      </c>
      <c r="E102">
        <f>Hoja1!E118*1000</f>
        <v>7320</v>
      </c>
      <c r="F102">
        <f>Hoja1!F118*1000</f>
        <v>7140</v>
      </c>
      <c r="G102">
        <f>Hoja1!G118*1000</f>
        <v>6350</v>
      </c>
      <c r="H102">
        <f>Hoja1!H118*1000</f>
        <v>4940</v>
      </c>
      <c r="I102">
        <f>Hoja1!I118*1000</f>
        <v>3400</v>
      </c>
      <c r="J102">
        <f>Hoja1!J118*1000</f>
        <v>3100</v>
      </c>
      <c r="K102">
        <f>Hoja1!K118*1000</f>
        <v>3490</v>
      </c>
      <c r="L102">
        <f>Hoja1!L118*1000</f>
        <v>4350</v>
      </c>
      <c r="M102">
        <f>Hoja1!M118*1000</f>
        <v>5340</v>
      </c>
      <c r="N102">
        <f>Hoja1!N118*1000</f>
        <v>6090</v>
      </c>
      <c r="O102">
        <f>Hoja1!O118*1000</f>
        <v>6830</v>
      </c>
    </row>
    <row r="103" spans="1:15">
      <c r="A103" s="3" t="s">
        <v>276</v>
      </c>
      <c r="B103" s="13" t="s">
        <v>291</v>
      </c>
      <c r="C103" s="5" t="s">
        <v>292</v>
      </c>
      <c r="D103">
        <f>Hoja1!D120*1000</f>
        <v>5210</v>
      </c>
      <c r="E103">
        <f>Hoja1!E120*1000</f>
        <v>5410</v>
      </c>
      <c r="F103">
        <f>Hoja1!F120*1000</f>
        <v>4760</v>
      </c>
      <c r="G103">
        <f>Hoja1!G120*1000</f>
        <v>4310</v>
      </c>
      <c r="H103">
        <f>Hoja1!H120*1000</f>
        <v>3660</v>
      </c>
      <c r="I103">
        <f>Hoja1!I120*1000</f>
        <v>3650</v>
      </c>
      <c r="J103">
        <f>Hoja1!J120*1000</f>
        <v>3660</v>
      </c>
      <c r="K103">
        <f>Hoja1!K120*1000</f>
        <v>4320</v>
      </c>
      <c r="L103">
        <f>Hoja1!L120*1000</f>
        <v>4180</v>
      </c>
      <c r="M103">
        <f>Hoja1!M120*1000</f>
        <v>4740</v>
      </c>
      <c r="N103">
        <f>Hoja1!N120*1000</f>
        <v>4970</v>
      </c>
      <c r="O103">
        <f>Hoja1!O120*1000</f>
        <v>5020</v>
      </c>
    </row>
    <row r="105" spans="1:15">
      <c r="A105" s="4" t="s">
        <v>144</v>
      </c>
      <c r="B105" s="9">
        <v>1000</v>
      </c>
      <c r="C105" s="8" t="s">
        <v>143</v>
      </c>
    </row>
    <row r="107" spans="1:15">
      <c r="B107" s="25" t="s">
        <v>369</v>
      </c>
    </row>
  </sheetData>
  <mergeCells count="1">
    <mergeCell ref="D1:O1"/>
  </mergeCells>
  <pageMargins left="0.7" right="0.7" top="0.75" bottom="0.75" header="0.3" footer="0.3"/>
  <pageSetup paperSize="9" orientation="portrait" r:id="rId1"/>
  <ignoredErrors>
    <ignoredError sqref="I90 J93 M94 J9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Gato Feroz</dc:creator>
  <cp:lastModifiedBy>Miriam</cp:lastModifiedBy>
  <dcterms:created xsi:type="dcterms:W3CDTF">2012-06-28T12:34:48Z</dcterms:created>
  <dcterms:modified xsi:type="dcterms:W3CDTF">2015-02-17T09:37:51Z</dcterms:modified>
</cp:coreProperties>
</file>